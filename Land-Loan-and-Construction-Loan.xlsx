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prasad\Downloads\"/>
    </mc:Choice>
  </mc:AlternateContent>
  <xr:revisionPtr revIDLastSave="0" documentId="13_ncr:1_{529CE097-5932-4EED-8DE7-E1FE91F7DF57}" xr6:coauthVersionLast="47" xr6:coauthVersionMax="47" xr10:uidLastSave="{00000000-0000-0000-0000-000000000000}"/>
  <bookViews>
    <workbookView xWindow="22932" yWindow="-5208" windowWidth="30936" windowHeight="16776" xr2:uid="{8095260A-F886-406C-AA20-F8B2ABD9FBF1}"/>
  </bookViews>
  <sheets>
    <sheet name="Cover Page" sheetId="6" r:id="rId1"/>
    <sheet name="Land Loan" sheetId="3" r:id="rId2"/>
    <sheet name="Constr Loan Amt" sheetId="5" r:id="rId3"/>
  </sheets>
  <externalReferences>
    <externalReference r:id="rId4"/>
    <externalReference r:id="rId5"/>
    <externalReference r:id="rId6"/>
    <externalReference r:id="rId7"/>
  </externalReferences>
  <definedNames>
    <definedName name="__123Graph_ACurrent" hidden="1">'[1]Office Space'!$O$33:$AA$33</definedName>
    <definedName name="__123Graph_B" localSheetId="1" hidden="1">'[2]Comp. Transaction'!#REF!</definedName>
    <definedName name="__123Graph_B" hidden="1">'[2]Comp. Transaction'!#REF!</definedName>
    <definedName name="__123Graph_BCurrent" hidden="1">'[1]Office Space'!$O$34:$AA$34</definedName>
    <definedName name="__123Graph_D" localSheetId="1" hidden="1">'[2]Comp. Transaction'!#REF!</definedName>
    <definedName name="__123Graph_D" hidden="1">'[2]Comp. Transaction'!#REF!</definedName>
    <definedName name="__123Graph_XCurrent" hidden="1">'[1]Office Space'!$O$9:$AA$9</definedName>
    <definedName name="__FDS_HYPERLINK_TOGGLE_STATE__" hidden="1">"ON"</definedName>
    <definedName name="_2_0__123Grap" localSheetId="1" hidden="1">'[3]Comp. Transaction'!#REF!</definedName>
    <definedName name="_2_0__123Grap" hidden="1">'[3]Comp. Transaction'!#REF!</definedName>
    <definedName name="_4_0__123Grap" localSheetId="1" hidden="1">'[3]Comp. Transaction'!#REF!</definedName>
    <definedName name="_4_0__123Grap" hidden="1">'[3]Comp. Transaction'!#REF!</definedName>
    <definedName name="_fff2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ff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ff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 localSheetId="1" hidden="1">#REF!</definedName>
    <definedName name="_Fil1" hidden="1">#REF!</definedName>
    <definedName name="_Fill" localSheetId="1" hidden="1">#REF!</definedName>
    <definedName name="_Fill" hidden="1">#REF!</definedName>
    <definedName name="_ggg2" localSheetId="2" hidden="1">{"View1",#N/A,FALSE,"Sheet1";"View2",#N/A,FALSE,"Sheet1"}</definedName>
    <definedName name="_ggg2" localSheetId="0" hidden="1">{"View1",#N/A,FALSE,"Sheet1";"View2",#N/A,FALSE,"Sheet1"}</definedName>
    <definedName name="_ggg2" localSheetId="1" hidden="1">{"View1",#N/A,FALSE,"Sheet1";"View2",#N/A,FALSE,"Sheet1"}</definedName>
    <definedName name="_ggg2" hidden="1">{"View1",#N/A,FALSE,"Sheet1";"View2",#N/A,FALSE,"Sheet1"}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ey5" localSheetId="1" hidden="1">#REF!</definedName>
    <definedName name="_Key5" hidden="1">#REF!</definedName>
    <definedName name="_Key6" localSheetId="1" hidden="1">#REF!</definedName>
    <definedName name="_Key6" hidden="1">#REF!</definedName>
    <definedName name="_Key8" localSheetId="1" hidden="1">#REF!</definedName>
    <definedName name="_Key8" hidden="1">#REF!</definedName>
    <definedName name="_Key9" localSheetId="1" hidden="1">#REF!</definedName>
    <definedName name="_Key9" hidden="1">#REF!</definedName>
    <definedName name="_MRG2" localSheetId="2" hidden="1">{"INCOME",#N/A,FALSE,"ProNet";"VALUE",#N/A,FALSE,"ProNet"}</definedName>
    <definedName name="_MRG2" localSheetId="0" hidden="1">{"INCOME",#N/A,FALSE,"ProNet";"VALUE",#N/A,FALSE,"ProNet"}</definedName>
    <definedName name="_MRG2" localSheetId="1" hidden="1">{"INCOME",#N/A,FALSE,"ProNet";"VALUE",#N/A,FALSE,"ProNet"}</definedName>
    <definedName name="_MRG2" hidden="1">{"INCOME",#N/A,FALSE,"ProNet";"VALUE",#N/A,FALSE,"ProNet"}</definedName>
    <definedName name="_Order1" hidden="1">255</definedName>
    <definedName name="_Order2" hidden="1">255</definedName>
    <definedName name="_Sort" localSheetId="1" hidden="1">#REF!</definedName>
    <definedName name="_Sor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[4]Current_CF!#REF!</definedName>
    <definedName name="_Table2_Out" hidden="1">[4]Current_CF!#REF!</definedName>
    <definedName name="a" localSheetId="1" hidden="1">#REF!</definedName>
    <definedName name="a" hidden="1">#REF!</definedName>
    <definedName name="aaaaaa" localSheetId="1" hidden="1">#REF!</definedName>
    <definedName name="aaaaaa" hidden="1">#REF!</definedName>
    <definedName name="aaaaaaa" localSheetId="2" hidden="1">{"Outflow 1",#N/A,FALSE,"Outflows-Inflows";"Outflow 2",#N/A,FALSE,"Outflows-Inflows";"Inflow 1",#N/A,FALSE,"Outflows-Inflows";"Inflow 2",#N/A,FALSE,"Outflows-Inflows"}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" localSheetId="1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sdfa" localSheetId="2" hidden="1">{"rtn",#N/A,FALSE,"RTN";"tables",#N/A,FALSE,"RTN";"cf",#N/A,FALSE,"CF";"stats",#N/A,FALSE,"Stats";"prop",#N/A,FALSE,"Prop"}</definedName>
    <definedName name="aasdfa" localSheetId="0" hidden="1">{"rtn",#N/A,FALSE,"RTN";"tables",#N/A,FALSE,"RTN";"cf",#N/A,FALSE,"CF";"stats",#N/A,FALSE,"Stats";"prop",#N/A,FALSE,"Prop"}</definedName>
    <definedName name="aasdfa" localSheetId="1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nscount" hidden="1">1</definedName>
    <definedName name="as" localSheetId="2" hidden="1">{"Outflow 1",#N/A,FALSE,"Outflows-Inflows";"Outflow 2",#N/A,FALSE,"Outflows-Inflows";"Inflow 1",#N/A,FALSE,"Outflows-Inflows";"Inflow 2",#N/A,FALSE,"Outflows-Inflows"}</definedName>
    <definedName name="as" localSheetId="0" hidden="1">{"Outflow 1",#N/A,FALSE,"Outflows-Inflows";"Outflow 2",#N/A,FALSE,"Outflows-Inflows";"Inflow 1",#N/A,FALSE,"Outflows-Inflows";"Inflow 2",#N/A,FALSE,"Outflows-Inflows"}</definedName>
    <definedName name="as" localSheetId="1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dfas" localSheetId="2" hidden="1">{"print 1.6",#N/A,FALSE,"Sheet1";"print 2.6",#N/A,FALSE,"Sheet1";"print 3.6",#N/A,FALSE,"Sheet1";"print 4.6",#N/A,FALSE,"Sheet1";"print 5.6",#N/A,FALSE,"Sheet1";"print 6.6",#N/A,FALSE,"Sheet1"}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" localSheetId="1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2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aa" localSheetId="1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2" hidden="1">{"rtn",#N/A,FALSE,"RTN";"tables",#N/A,FALSE,"RTN";"cf",#N/A,FALSE,"CF";"stats",#N/A,FALSE,"Stats";"prop",#N/A,FALSE,"Prop"}</definedName>
    <definedName name="asdfasdf" localSheetId="0" hidden="1">{"rtn",#N/A,FALSE,"RTN";"tables",#N/A,FALSE,"RTN";"cf",#N/A,FALSE,"CF";"stats",#N/A,FALSE,"Stats";"prop",#N/A,FALSE,"Prop"}</definedName>
    <definedName name="asdfasdf" localSheetId="1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fag2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g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g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g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 localSheetId="2" hidden="1">{"print 1.6",#N/A,FALSE,"Sheet1";"print 2.6",#N/A,FALSE,"Sheet1";"print 3.6",#N/A,FALSE,"Sheet1";"print 4.6",#N/A,FALSE,"Sheet1";"print 5.6",#N/A,FALSE,"Sheet1";"print 6.6",#N/A,FALSE,"Sheet1"}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" localSheetId="1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localSheetId="2" hidden="1">{"rtn",#N/A,FALSE,"RTN";"tables",#N/A,FALSE,"RTN";"cf",#N/A,FALSE,"CF";"stats",#N/A,FALSE,"Stats";"prop",#N/A,FALSE,"Prop"}</definedName>
    <definedName name="asss" localSheetId="0" hidden="1">{"rtn",#N/A,FALSE,"RTN";"tables",#N/A,FALSE,"RTN";"cf",#N/A,FALSE,"CF";"stats",#N/A,FALSE,"Stats";"prop",#N/A,FALSE,"Prop"}</definedName>
    <definedName name="asss" localSheetId="1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z" localSheetId="2" hidden="1">{#N/A,#N/A,FALSE,"Trans Summary";#N/A,#N/A,FALSE,"Proforma Five Yr";#N/A,#N/A,FALSE,"Occ and Rate"}</definedName>
    <definedName name="az" localSheetId="0" hidden="1">{#N/A,#N/A,FALSE,"Trans Summary";#N/A,#N/A,FALSE,"Proforma Five Yr";#N/A,#N/A,FALSE,"Occ and Rate"}</definedName>
    <definedName name="az" localSheetId="1" hidden="1">{#N/A,#N/A,FALSE,"Trans Summary";#N/A,#N/A,FALSE,"Proforma Five Yr";#N/A,#N/A,FALSE,"Occ and Rate"}</definedName>
    <definedName name="az" hidden="1">{#N/A,#N/A,FALSE,"Trans Summary";#N/A,#N/A,FALSE,"Proforma Five Yr";#N/A,#N/A,FALSE,"Occ and Rate"}</definedName>
    <definedName name="BadLink" localSheetId="1" hidden="1">#REF!</definedName>
    <definedName name="BadLink" hidden="1">#REF!</definedName>
    <definedName name="ccc" localSheetId="2" hidden="1">{#N/A,#N/A,FALSE,"LoanAssumptions"}</definedName>
    <definedName name="ccc" localSheetId="0" hidden="1">{#N/A,#N/A,FALSE,"LoanAssumptions"}</definedName>
    <definedName name="ccc" localSheetId="1" hidden="1">{#N/A,#N/A,FALSE,"LoanAssumptions"}</definedName>
    <definedName name="ccc" hidden="1">{#N/A,#N/A,FALSE,"LoanAssumptions"}</definedName>
    <definedName name="CIQWBGuid" localSheetId="0" hidden="1">"2cd8126d-26c3-430c-b7fa-a069e3a1fc62"</definedName>
    <definedName name="CIQWBGuid" hidden="1">"3a76856e-063b-4329-b2c5-ae285df6792b"</definedName>
    <definedName name="construction" localSheetId="2" hidden="1">{"Construction Costs",#N/A,FALSE,"Total Costs"}</definedName>
    <definedName name="construction" localSheetId="0" hidden="1">{"Construction Costs",#N/A,FALSE,"Total Costs"}</definedName>
    <definedName name="construction" localSheetId="1" hidden="1">{"Construction Costs",#N/A,FALSE,"Total Costs"}</definedName>
    <definedName name="construction" hidden="1">{"Construction Costs",#N/A,FALSE,"Total Costs"}</definedName>
    <definedName name="Cottage" localSheetId="2" hidden="1">{"cot1",#N/A,FALSE,"Cottages";"cot2",#N/A,FALSE,"Cottages";"cot3",#N/A,FALSE,"Cottages"}</definedName>
    <definedName name="Cottage" localSheetId="0" hidden="1">{"cot1",#N/A,FALSE,"Cottages";"cot2",#N/A,FALSE,"Cottages";"cot3",#N/A,FALSE,"Cottages"}</definedName>
    <definedName name="Cottage" localSheetId="1" hidden="1">{"cot1",#N/A,FALSE,"Cottages";"cot2",#N/A,FALSE,"Cottages";"cot3",#N/A,FALSE,"Cottages"}</definedName>
    <definedName name="Cottage" hidden="1">{"cot1",#N/A,FALSE,"Cottages";"cot2",#N/A,FALSE,"Cottages";"cot3",#N/A,FALSE,"Cottages"}</definedName>
    <definedName name="dc" localSheetId="2" hidden="1">{#N/A,#N/A,FALSE,"Proforma Five Yr";#N/A,#N/A,FALSE,"Capital Input";#N/A,#N/A,FALSE,"Calculations";#N/A,#N/A,FALSE,"Transaction Summary-DTW"}</definedName>
    <definedName name="dc" localSheetId="0" hidden="1">{#N/A,#N/A,FALSE,"Proforma Five Yr";#N/A,#N/A,FALSE,"Capital Input";#N/A,#N/A,FALSE,"Calculations";#N/A,#N/A,FALSE,"Transaction Summary-DTW"}</definedName>
    <definedName name="dc" localSheetId="1" hidden="1">{#N/A,#N/A,FALSE,"Proforma Five Yr";#N/A,#N/A,FALSE,"Capital Input";#N/A,#N/A,FALSE,"Calculations";#N/A,#N/A,FALSE,"Transaction Summary-DTW"}</definedName>
    <definedName name="dc" hidden="1">{#N/A,#N/A,FALSE,"Proforma Five Yr";#N/A,#N/A,FALSE,"Capital Input";#N/A,#N/A,FALSE,"Calculations";#N/A,#N/A,FALSE,"Transaction Summary-DTW"}</definedName>
    <definedName name="del" localSheetId="2" hidden="1">{"Page1",#N/A,FALSE,"7979";"Page2",#N/A,FALSE,"7979";"Page3",#N/A,FALSE,"7979"}</definedName>
    <definedName name="del" localSheetId="0" hidden="1">{"Page1",#N/A,FALSE,"7979";"Page2",#N/A,FALSE,"7979";"Page3",#N/A,FALSE,"7979"}</definedName>
    <definedName name="del" localSheetId="1" hidden="1">{"Page1",#N/A,FALSE,"7979";"Page2",#N/A,FALSE,"7979";"Page3",#N/A,FALSE,"7979"}</definedName>
    <definedName name="del" hidden="1">{"Page1",#N/A,FALSE,"7979";"Page2",#N/A,FALSE,"7979";"Page3",#N/A,FALSE,"7979"}</definedName>
    <definedName name="er" localSheetId="2" hidden="1">{"demand",#N/A,FALSE,"Sheet3";"Market Mix",#N/A,FALSE,"Sheet4";"Occ Projection",#N/A,FALSE,"Sheet6"}</definedName>
    <definedName name="er" localSheetId="0" hidden="1">{"demand",#N/A,FALSE,"Sheet3";"Market Mix",#N/A,FALSE,"Sheet4";"Occ Projection",#N/A,FALSE,"Sheet6"}</definedName>
    <definedName name="er" localSheetId="1" hidden="1">{"demand",#N/A,FALSE,"Sheet3";"Market Mix",#N/A,FALSE,"Sheet4";"Occ Projection",#N/A,FALSE,"Sheet6"}</definedName>
    <definedName name="er" hidden="1">{"demand",#N/A,FALSE,"Sheet3";"Market Mix",#N/A,FALSE,"Sheet4";"Occ Projection",#N/A,FALSE,"Sheet6"}</definedName>
    <definedName name="fds" localSheetId="2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0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1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f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f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f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 localSheetId="2" hidden="1">{"Annual Cash Flows",#N/A,FALSE,"Annual Summary"}</definedName>
    <definedName name="filler" localSheetId="0" hidden="1">{"Annual Cash Flows",#N/A,FALSE,"Annual Summary"}</definedName>
    <definedName name="filler" localSheetId="1" hidden="1">{"Annual Cash Flows",#N/A,FALSE,"Annual Summary"}</definedName>
    <definedName name="filler" hidden="1">{"Annual Cash Flows",#N/A,FALSE,"Annual Summary"}</definedName>
    <definedName name="filler2" localSheetId="2" hidden="1">{"Assumptions",#N/A,FALSE,"Assumptions"}</definedName>
    <definedName name="filler2" localSheetId="0" hidden="1">{"Assumptions",#N/A,FALSE,"Assumptions"}</definedName>
    <definedName name="filler2" localSheetId="1" hidden="1">{"Assumptions",#N/A,FALSE,"Assumptions"}</definedName>
    <definedName name="filler2" hidden="1">{"Assumptions",#N/A,FALSE,"Assumptions"}</definedName>
    <definedName name="filler3" localSheetId="2" hidden="1">{"Construction Costs",#N/A,FALSE,"Total Costs"}</definedName>
    <definedName name="filler3" localSheetId="0" hidden="1">{"Construction Costs",#N/A,FALSE,"Total Costs"}</definedName>
    <definedName name="filler3" localSheetId="1" hidden="1">{"Construction Costs",#N/A,FALSE,"Total Costs"}</definedName>
    <definedName name="filler3" hidden="1">{"Construction Costs",#N/A,FALSE,"Total Costs"}</definedName>
    <definedName name="fv" localSheetId="2" hidden="1">{"Project Input",#N/A,FALSE,"Sheet1";"additions",#N/A,FALSE,"Sheet2";"demand",#N/A,FALSE,"Sheet3";"Market Mix",#N/A,FALSE,"Sheet4";"Occ projection",#N/A,FALSE,"Sheet6"}</definedName>
    <definedName name="fv" localSheetId="0" hidden="1">{"Project Input",#N/A,FALSE,"Sheet1";"additions",#N/A,FALSE,"Sheet2";"demand",#N/A,FALSE,"Sheet3";"Market Mix",#N/A,FALSE,"Sheet4";"Occ projection",#N/A,FALSE,"Sheet6"}</definedName>
    <definedName name="fv" localSheetId="1" hidden="1">{"Project Input",#N/A,FALSE,"Sheet1";"additions",#N/A,FALSE,"Sheet2";"demand",#N/A,FALSE,"Sheet3";"Market Mix",#N/A,FALSE,"Sheet4";"Occ projection",#N/A,FALSE,"Sheet6"}</definedName>
    <definedName name="fv" hidden="1">{"Project Input",#N/A,FALSE,"Sheet1";"additions",#N/A,FALSE,"Sheet2";"demand",#N/A,FALSE,"Sheet3";"Market Mix",#N/A,FALSE,"Sheet4";"Occ projection",#N/A,FALSE,"Sheet6"}</definedName>
    <definedName name="gb" localSheetId="2" hidden="1">{#N/A,#N/A,FALSE,"Proforma Five Yr";#N/A,#N/A,FALSE,"Occ and Rate";#N/A,#N/A,FALSE,"PF Input";#N/A,#N/A,FALSE,"Hotcomps"}</definedName>
    <definedName name="gb" localSheetId="0" hidden="1">{#N/A,#N/A,FALSE,"Proforma Five Yr";#N/A,#N/A,FALSE,"Occ and Rate";#N/A,#N/A,FALSE,"PF Input";#N/A,#N/A,FALSE,"Hotcomps"}</definedName>
    <definedName name="gb" localSheetId="1" hidden="1">{#N/A,#N/A,FALSE,"Proforma Five Yr";#N/A,#N/A,FALSE,"Occ and Rate";#N/A,#N/A,FALSE,"PF Input";#N/A,#N/A,FALSE,"Hotcomps"}</definedName>
    <definedName name="gb" hidden="1">{#N/A,#N/A,FALSE,"Proforma Five Yr";#N/A,#N/A,FALSE,"Occ and Rate";#N/A,#N/A,FALSE,"PF Input";#N/A,#N/A,FALSE,"Hotcomps"}</definedName>
    <definedName name="gg" localSheetId="2" hidden="1">{"View1",#N/A,FALSE,"Sheet1";"View2",#N/A,FALSE,"Sheet1"}</definedName>
    <definedName name="gg" localSheetId="0" hidden="1">{"View1",#N/A,FALSE,"Sheet1";"View2",#N/A,FALSE,"Sheet1"}</definedName>
    <definedName name="gg" localSheetId="1" hidden="1">{"View1",#N/A,FALSE,"Sheet1";"View2",#N/A,FALSE,"Sheet1"}</definedName>
    <definedName name="gg" hidden="1">{"View1",#N/A,FALSE,"Sheet1";"View2",#N/A,FALSE,"Sheet1"}</definedName>
    <definedName name="ggg" localSheetId="2" hidden="1">{"View1",#N/A,FALSE,"Sheet1";"View2",#N/A,FALSE,"Sheet1"}</definedName>
    <definedName name="ggg" localSheetId="0" hidden="1">{"View1",#N/A,FALSE,"Sheet1";"View2",#N/A,FALSE,"Sheet1"}</definedName>
    <definedName name="ggg" localSheetId="1" hidden="1">{"View1",#N/A,FALSE,"Sheet1";"View2",#N/A,FALSE,"Sheet1"}</definedName>
    <definedName name="ggg" hidden="1">{"View1",#N/A,FALSE,"Sheet1";"View2",#N/A,FALSE,"Sheet1"}</definedName>
    <definedName name="gggg2" localSheetId="2" hidden="1">{"View1",#N/A,FALSE,"Sheet1";"View2",#N/A,FALSE,"Sheet1"}</definedName>
    <definedName name="gggg2" localSheetId="0" hidden="1">{"View1",#N/A,FALSE,"Sheet1";"View2",#N/A,FALSE,"Sheet1"}</definedName>
    <definedName name="gggg2" localSheetId="1" hidden="1">{"View1",#N/A,FALSE,"Sheet1";"View2",#N/A,FALSE,"Sheet1"}</definedName>
    <definedName name="gggg2" hidden="1">{"View1",#N/A,FALSE,"Sheet1";"View2",#N/A,FALSE,"Sheet1"}</definedName>
    <definedName name="h" localSheetId="2" hidden="1">{#N/A,#N/A,FALSE,"PropertyInfo"}</definedName>
    <definedName name="h" localSheetId="0" hidden="1">{#N/A,#N/A,FALSE,"PropertyInfo"}</definedName>
    <definedName name="h" localSheetId="1" hidden="1">{#N/A,#N/A,FALSE,"PropertyInfo"}</definedName>
    <definedName name="h" hidden="1">{#N/A,#N/A,FALSE,"PropertyInfo"}</definedName>
    <definedName name="hh" localSheetId="2" hidden="1">{#N/A,#N/A,FALSE,"Summary"}</definedName>
    <definedName name="hh" localSheetId="0" hidden="1">{#N/A,#N/A,FALSE,"Summary"}</definedName>
    <definedName name="hh" localSheetId="1" hidden="1">{#N/A,#N/A,FALSE,"Summary"}</definedName>
    <definedName name="hh" hidden="1">{#N/A,#N/A,FALSE,"Summary"}</definedName>
    <definedName name="hn" localSheetId="2" hidden="1">{#N/A,#N/A,FALSE,"Proforma Five Yr";#N/A,#N/A,FALSE,"Occ and Rate";#N/A,#N/A,FALSE,"PF Input";#N/A,#N/A,FALSE,"Ops Summary";#N/A,#N/A,FALSE,"Hotcomps"}</definedName>
    <definedName name="hn" localSheetId="0" hidden="1">{#N/A,#N/A,FALSE,"Proforma Five Yr";#N/A,#N/A,FALSE,"Occ and Rate";#N/A,#N/A,FALSE,"PF Input";#N/A,#N/A,FALSE,"Ops Summary";#N/A,#N/A,FALSE,"Hotcomps"}</definedName>
    <definedName name="hn" localSheetId="1" hidden="1">{#N/A,#N/A,FALSE,"Proforma Five Yr";#N/A,#N/A,FALSE,"Occ and Rate";#N/A,#N/A,FALSE,"PF Input";#N/A,#N/A,FALSE,"Ops Summary";#N/A,#N/A,FALSE,"Hotcomps"}</definedName>
    <definedName name="hn" hidden="1">{#N/A,#N/A,FALSE,"Proforma Five Yr";#N/A,#N/A,FALSE,"Occ and Rate";#N/A,#N/A,FALSE,"PF Input";#N/A,#N/A,FALSE,"Ops Summary";#N/A,#N/A,FALSE,"Hotcomps"}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41666.7099189815</definedName>
    <definedName name="IQ_NAMES_REVISION_DATE_" hidden="1">41887.7188541667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klk" localSheetId="1" hidden="1">#REF!</definedName>
    <definedName name="klk" hidden="1">#REF!</definedName>
    <definedName name="MRG" localSheetId="2" hidden="1">{"INCOME",#N/A,FALSE,"ProNet";"VALUE",#N/A,FALSE,"ProNet"}</definedName>
    <definedName name="MRG" localSheetId="0" hidden="1">{"INCOME",#N/A,FALSE,"ProNet";"VALUE",#N/A,FALSE,"ProNet"}</definedName>
    <definedName name="MRG" localSheetId="1" hidden="1">{"INCOME",#N/A,FALSE,"ProNet";"VALUE",#N/A,FALSE,"ProNet"}</definedName>
    <definedName name="MRG" hidden="1">{"INCOME",#N/A,FALSE,"ProNet";"VALUE",#N/A,FALSE,"ProNet"}</definedName>
    <definedName name="Name1" localSheetId="2" hidden="1">{"cot1",#N/A,FALSE,"Cottages";"cot2",#N/A,FALSE,"Cottages";"cot3",#N/A,FALSE,"Cottages"}</definedName>
    <definedName name="Name1" localSheetId="0" hidden="1">{"cot1",#N/A,FALSE,"Cottages";"cot2",#N/A,FALSE,"Cottages";"cot3",#N/A,FALSE,"Cottages"}</definedName>
    <definedName name="Name1" localSheetId="1" hidden="1">{"cot1",#N/A,FALSE,"Cottages";"cot2",#N/A,FALSE,"Cottages";"cot3",#N/A,FALSE,"Cottages"}</definedName>
    <definedName name="Name1" hidden="1">{"cot1",#N/A,FALSE,"Cottages";"cot2",#N/A,FALSE,"Cottages";"cot3",#N/A,FALSE,"Cottages"}</definedName>
    <definedName name="newrange" localSheetId="2" hidden="1">{"Annual Cash Flows",#N/A,FALSE,"Annual Summary"}</definedName>
    <definedName name="newrange" localSheetId="0" hidden="1">{"Annual Cash Flows",#N/A,FALSE,"Annual Summary"}</definedName>
    <definedName name="newrange" localSheetId="1" hidden="1">{"Annual Cash Flows",#N/A,FALSE,"Annual Summary"}</definedName>
    <definedName name="newrange" hidden="1">{"Annual Cash Flows",#N/A,FALSE,"Annual Summary"}</definedName>
    <definedName name="PJAM3Yr" localSheetId="2" hidden="1">{"INCOME",#N/A,FALSE,"ProNet";"VALUE",#N/A,FALSE,"ProNet"}</definedName>
    <definedName name="PJAM3Yr" localSheetId="0" hidden="1">{"INCOME",#N/A,FALSE,"ProNet";"VALUE",#N/A,FALSE,"ProNet"}</definedName>
    <definedName name="PJAM3Yr" localSheetId="1" hidden="1">{"INCOME",#N/A,FALSE,"ProNet";"VALUE",#N/A,FALSE,"ProNet"}</definedName>
    <definedName name="PJAM3Yr" hidden="1">{"INCOME",#N/A,FALSE,"ProNet";"VALUE",#N/A,FALSE,"ProNet"}</definedName>
    <definedName name="_xlnm.Print_Area" localSheetId="0">'Cover Page'!$A$1:$P$27</definedName>
    <definedName name="promte" localSheetId="2" hidden="1">{"Assumptions",#N/A,FALSE,"Assumptions"}</definedName>
    <definedName name="promte" localSheetId="0" hidden="1">{"Assumptions",#N/A,FALSE,"Assumptions"}</definedName>
    <definedName name="promte" localSheetId="1" hidden="1">{"Assumptions",#N/A,FALSE,"Assumptions"}</definedName>
    <definedName name="promte" hidden="1">{"Assumptions",#N/A,FALSE,"Assumptions"}</definedName>
    <definedName name="qw" localSheetId="2" hidden="1">{#N/A,#N/A,FALSE,"Transaction Summary-DTW";#N/A,#N/A,FALSE,"Proforma Five Yr";#N/A,#N/A,FALSE,"Occ and Rate"}</definedName>
    <definedName name="qw" localSheetId="0" hidden="1">{#N/A,#N/A,FALSE,"Transaction Summary-DTW";#N/A,#N/A,FALSE,"Proforma Five Yr";#N/A,#N/A,FALSE,"Occ and Rate"}</definedName>
    <definedName name="qw" localSheetId="1" hidden="1">{#N/A,#N/A,FALSE,"Transaction Summary-DTW";#N/A,#N/A,FALSE,"Proforma Five Yr";#N/A,#N/A,FALSE,"Occ and Rate"}</definedName>
    <definedName name="qw" hidden="1">{#N/A,#N/A,FALSE,"Transaction Summary-DTW";#N/A,#N/A,FALSE,"Proforma Five Yr";#N/A,#N/A,FALSE,"Occ and Rate"}</definedName>
    <definedName name="saa" localSheetId="2" hidden="1">{"rtn",#N/A,FALSE,"RTN";"tables",#N/A,FALSE,"RTN";"cf",#N/A,FALSE,"CF";"stats",#N/A,FALSE,"Stats";"prop",#N/A,FALSE,"Prop"}</definedName>
    <definedName name="saa" localSheetId="0" hidden="1">{"rtn",#N/A,FALSE,"RTN";"tables",#N/A,FALSE,"RTN";"cf",#N/A,FALSE,"CF";"stats",#N/A,FALSE,"Stats";"prop",#N/A,FALSE,"Prop"}</definedName>
    <definedName name="saa" localSheetId="1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s" localSheetId="2" hidden="1">{"Outflow 1",#N/A,FALSE,"Outflows-Inflows";"Outflow 2",#N/A,FALSE,"Outflows-Inflows";"Inflow 1",#N/A,FALSE,"Outflows-Inflows";"Inflow 2",#N/A,FALSE,"Outflows-Inflows"}</definedName>
    <definedName name="sas" localSheetId="0" hidden="1">{"Outflow 1",#N/A,FALSE,"Outflows-Inflows";"Outflow 2",#N/A,FALSE,"Outflows-Inflows";"Inflow 1",#N/A,FALSE,"Outflows-Inflows";"Inflow 2",#N/A,FALSE,"Outflows-Inflows"}</definedName>
    <definedName name="sas" localSheetId="1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dfass" localSheetId="2" hidden="1">{"Outflow 1",#N/A,FALSE,"Outflows-Inflows";"Outflow 2",#N/A,FALSE,"Outflows-Inflows";"Inflow 1",#N/A,FALSE,"Outflows-Inflows";"Inflow 2",#N/A,FALSE,"Outflows-Inflows"}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dfass" localSheetId="1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x" localSheetId="2" hidden="1">{#N/A,#N/A,FALSE,"Occ and Rate";#N/A,#N/A,FALSE,"PF Input";#N/A,#N/A,FALSE,"Capital Input";#N/A,#N/A,FALSE,"Proforma Five Yr";#N/A,#N/A,FALSE,"Calculations";#N/A,#N/A,FALSE,"Transaction Summary-DTW"}</definedName>
    <definedName name="sx" localSheetId="0" hidden="1">{#N/A,#N/A,FALSE,"Occ and Rate";#N/A,#N/A,FALSE,"PF Input";#N/A,#N/A,FALSE,"Capital Input";#N/A,#N/A,FALSE,"Proforma Five Yr";#N/A,#N/A,FALSE,"Calculations";#N/A,#N/A,FALSE,"Transaction Summary-DTW"}</definedName>
    <definedName name="sx" localSheetId="1" hidden="1">{#N/A,#N/A,FALSE,"Occ and Rate";#N/A,#N/A,FALSE,"PF Input";#N/A,#N/A,FALSE,"Capital Input";#N/A,#N/A,FALSE,"Proforma Five Yr";#N/A,#N/A,FALSE,"Calculations";#N/A,#N/A,FALSE,"Transaction Summary-DTW"}</definedName>
    <definedName name="sx" hidden="1">{#N/A,#N/A,FALSE,"Occ and Rate";#N/A,#N/A,FALSE,"PF Input";#N/A,#N/A,FALSE,"Capital Input";#N/A,#N/A,FALSE,"Proforma Five Yr";#N/A,#N/A,FALSE,"Calculations";#N/A,#N/A,FALSE,"Transaction Summary-DTW"}</definedName>
    <definedName name="Table_3out" localSheetId="1" hidden="1">#REF!</definedName>
    <definedName name="Table_3out" hidden="1">#REF!</definedName>
    <definedName name="Test" localSheetId="2" hidden="1">{"INCOME",#N/A,FALSE,"ProNet";"VALUE",#N/A,FALSE,"ProNet"}</definedName>
    <definedName name="Test" localSheetId="0" hidden="1">{"INCOME",#N/A,FALSE,"ProNet";"VALUE",#N/A,FALSE,"ProNet"}</definedName>
    <definedName name="Test" localSheetId="1" hidden="1">{"INCOME",#N/A,FALSE,"ProNet";"VALUE",#N/A,FALSE,"ProNet"}</definedName>
    <definedName name="Test" hidden="1">{"INCOME",#N/A,FALSE,"ProNet";"VALUE",#N/A,FALSE,"ProNet"}</definedName>
    <definedName name="Test2" localSheetId="2" hidden="1">{"INCOME",#N/A,FALSE,"ProNet";"VALUE",#N/A,FALSE,"ProNet"}</definedName>
    <definedName name="Test2" localSheetId="0" hidden="1">{"INCOME",#N/A,FALSE,"ProNet";"VALUE",#N/A,FALSE,"ProNet"}</definedName>
    <definedName name="Test2" localSheetId="1" hidden="1">{"INCOME",#N/A,FALSE,"ProNet";"VALUE",#N/A,FALSE,"ProNet"}</definedName>
    <definedName name="Test2" hidden="1">{"INCOME",#N/A,FALSE,"ProNet";"VALUE",#N/A,FALSE,"ProNet"}</definedName>
    <definedName name="Test3" localSheetId="2" hidden="1">{"INCOME",#N/A,FALSE,"ProNet";"VALUE",#N/A,FALSE,"ProNet"}</definedName>
    <definedName name="Test3" localSheetId="0" hidden="1">{"INCOME",#N/A,FALSE,"ProNet";"VALUE",#N/A,FALSE,"ProNet"}</definedName>
    <definedName name="Test3" localSheetId="1" hidden="1">{"INCOME",#N/A,FALSE,"ProNet";"VALUE",#N/A,FALSE,"ProNet"}</definedName>
    <definedName name="Test3" hidden="1">{"INCOME",#N/A,FALSE,"ProNet";"VALUE",#N/A,FALSE,"ProNet"}</definedName>
    <definedName name="test4" localSheetId="2" hidden="1">{"CHART",#N/A,FALSE,"Arch Communications"}</definedName>
    <definedName name="test4" localSheetId="0" hidden="1">{"CHART",#N/A,FALSE,"Arch Communications"}</definedName>
    <definedName name="test4" localSheetId="1" hidden="1">{"CHART",#N/A,FALSE,"Arch Communications"}</definedName>
    <definedName name="test4" hidden="1">{"CHART",#N/A,FALSE,"Arch Communications"}</definedName>
    <definedName name="we" localSheetId="2" hidden="1">{#N/A,#N/A,FALSE,"Occ and Rate";#N/A,#N/A,FALSE,"PF Input";#N/A,#N/A,FALSE,"Proforma Five Yr";#N/A,#N/A,FALSE,"Hotcomps"}</definedName>
    <definedName name="we" localSheetId="0" hidden="1">{#N/A,#N/A,FALSE,"Occ and Rate";#N/A,#N/A,FALSE,"PF Input";#N/A,#N/A,FALSE,"Proforma Five Yr";#N/A,#N/A,FALSE,"Hotcomps"}</definedName>
    <definedName name="we" localSheetId="1" hidden="1">{#N/A,#N/A,FALSE,"Occ and Rate";#N/A,#N/A,FALSE,"PF Input";#N/A,#N/A,FALSE,"Proforma Five Yr";#N/A,#N/A,FALSE,"Hotcomps"}</definedName>
    <definedName name="we" hidden="1">{#N/A,#N/A,FALSE,"Occ and Rate";#N/A,#N/A,FALSE,"PF Input";#N/A,#N/A,FALSE,"Proforma Five Yr";#N/A,#N/A,FALSE,"Hotcomps"}</definedName>
    <definedName name="what" localSheetId="2" hidden="1">{"Page1",#N/A,FALSE,"7979";"Page2",#N/A,FALSE,"7979";"Page3",#N/A,FALSE,"7979"}</definedName>
    <definedName name="what" localSheetId="0" hidden="1">{"Page1",#N/A,FALSE,"7979";"Page2",#N/A,FALSE,"7979";"Page3",#N/A,FALSE,"7979"}</definedName>
    <definedName name="what" localSheetId="1" hidden="1">{"Page1",#N/A,FALSE,"7979";"Page2",#N/A,FALSE,"7979";"Page3",#N/A,FALSE,"7979"}</definedName>
    <definedName name="what" hidden="1">{"Page1",#N/A,FALSE,"7979";"Page2",#N/A,FALSE,"7979";"Page3",#N/A,FALSE,"7979"}</definedName>
    <definedName name="wrn.Acq._.Model." localSheetId="2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localSheetId="0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localSheetId="1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localSheetId="2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localSheetId="0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localSheetId="1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 localSheetId="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0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1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 localSheetId="2" hidden="1">{"Annual Cash Flows",#N/A,FALSE,"Annual Summary"}</definedName>
    <definedName name="wrn.Annual._.Summary." localSheetId="0" hidden="1">{"Annual Cash Flows",#N/A,FALSE,"Annual Summary"}</definedName>
    <definedName name="wrn.Annual._.Summary." localSheetId="1" hidden="1">{"Annual Cash Flows",#N/A,FALSE,"Annual Summary"}</definedName>
    <definedName name="wrn.Annual._.Summary." hidden="1">{"Annual Cash Flows",#N/A,FALSE,"Annual Summary"}</definedName>
    <definedName name="wrn.AnnualRentRoll." localSheetId="2" hidden="1">{"AnnualRentRoll",#N/A,FALSE,"RentRoll"}</definedName>
    <definedName name="wrn.AnnualRentRoll." localSheetId="0" hidden="1">{"AnnualRentRoll",#N/A,FALSE,"RentRoll"}</definedName>
    <definedName name="wrn.AnnualRentRoll." localSheetId="1" hidden="1">{"AnnualRentRoll",#N/A,FALSE,"RentRoll"}</definedName>
    <definedName name="wrn.AnnualRentRoll." hidden="1">{"AnnualRentRoll",#N/A,FALSE,"RentRoll"}</definedName>
    <definedName name="wrn.Assumptions." localSheetId="2" hidden="1">{"Assumptions",#N/A,FALSE,"Assumptions"}</definedName>
    <definedName name="wrn.Assumptions." localSheetId="0" hidden="1">{"Assumptions",#N/A,FALSE,"Assumptions"}</definedName>
    <definedName name="wrn.Assumptions." localSheetId="1" hidden="1">{"Assumptions",#N/A,FALSE,"Assumptions"}</definedName>
    <definedName name="wrn.Assumptions." hidden="1">{"Assumptions",#N/A,FALSE,"Assumptions"}</definedName>
    <definedName name="wrn.Birdie." localSheetId="2" hidden="1">{#N/A,#N/A,FALSE,"Trans Summary";#N/A,#N/A,FALSE,"Proforma Five Yr";#N/A,#N/A,FALSE,"Occ and Rate"}</definedName>
    <definedName name="wrn.Birdie." localSheetId="0" hidden="1">{#N/A,#N/A,FALSE,"Trans Summary";#N/A,#N/A,FALSE,"Proforma Five Yr";#N/A,#N/A,FALSE,"Occ and Rate"}</definedName>
    <definedName name="wrn.Birdie." localSheetId="1" hidden="1">{#N/A,#N/A,FALSE,"Trans Summary";#N/A,#N/A,FALSE,"Proforma Five Yr";#N/A,#N/A,FALSE,"Occ and Rate"}</definedName>
    <definedName name="wrn.Birdie." hidden="1">{#N/A,#N/A,FALSE,"Trans Summary";#N/A,#N/A,FALSE,"Proforma Five Yr";#N/A,#N/A,FALSE,"Occ and Rate"}</definedName>
    <definedName name="wrn.Capx." localSheetId="2" hidden="1">{"Capx/exp",#N/A,FALSE,"CapX"}</definedName>
    <definedName name="wrn.Capx." localSheetId="0" hidden="1">{"Capx/exp",#N/A,FALSE,"CapX"}</definedName>
    <definedName name="wrn.Capx." localSheetId="1" hidden="1">{"Capx/exp",#N/A,FALSE,"CapX"}</definedName>
    <definedName name="wrn.Capx." hidden="1">{"Capx/exp",#N/A,FALSE,"CapX"}</definedName>
    <definedName name="wrn.CHART." localSheetId="2" hidden="1">{"CHART",#N/A,FALSE,"Arch Communications"}</definedName>
    <definedName name="wrn.CHART." localSheetId="0" hidden="1">{"CHART",#N/A,FALSE,"Arch Communications"}</definedName>
    <definedName name="wrn.CHART." localSheetId="1" hidden="1">{"CHART",#N/A,FALSE,"Arch Communications"}</definedName>
    <definedName name="wrn.CHART." hidden="1">{"CHART",#N/A,FALSE,"Arch Communications"}</definedName>
    <definedName name="wrn.Complete._.Review." localSheetId="2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0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1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struction._.Costs." localSheetId="2" hidden="1">{"Construction Costs",#N/A,FALSE,"Total Costs"}</definedName>
    <definedName name="wrn.Construction._.Costs." localSheetId="0" hidden="1">{"Construction Costs",#N/A,FALSE,"Total Costs"}</definedName>
    <definedName name="wrn.Construction._.Costs." localSheetId="1" hidden="1">{"Construction Costs",#N/A,FALSE,"Total Costs"}</definedName>
    <definedName name="wrn.Construction._.Costs." hidden="1">{"Construction Costs",#N/A,FALSE,"Total Costs"}</definedName>
    <definedName name="wrn.Cottage._.Summary." localSheetId="2" hidden="1">{"cot1",#N/A,FALSE,"Cottages";"cot2",#N/A,FALSE,"Cottages";"cot3",#N/A,FALSE,"Cottages"}</definedName>
    <definedName name="wrn.Cottage._.Summary." localSheetId="0" hidden="1">{"cot1",#N/A,FALSE,"Cottages";"cot2",#N/A,FALSE,"Cottages";"cot3",#N/A,FALSE,"Cottages"}</definedName>
    <definedName name="wrn.Cottage._.Summary." localSheetId="1" hidden="1">{"cot1",#N/A,FALSE,"Cottages";"cot2",#N/A,FALSE,"Cottages";"cot3",#N/A,FALSE,"Cottages"}</definedName>
    <definedName name="wrn.Cottage._.Summary." hidden="1">{"cot1",#N/A,FALSE,"Cottages";"cot2",#N/A,FALSE,"Cottages";"cot3",#N/A,FALSE,"Cottages"}</definedName>
    <definedName name="wrn.DETAIL._.SCHEDULES." localSheetId="2" hidden="1">{"ACCOUNT DETAIL",#N/A,FALSE,"SCHEDULE E";"ACCOUNT DETAIL",#N/A,FALSE,"SCHEDULE G";"ACCOUNT DETAIL",#N/A,FALSE,"SCHEDULE H";"ACCOUNT DETAIL",#N/A,FALSE,"SCHEDULE I"}</definedName>
    <definedName name="wrn.DETAIL._.SCHEDULES." localSheetId="0" hidden="1">{"ACCOUNT DETAIL",#N/A,FALSE,"SCHEDULE E";"ACCOUNT DETAIL",#N/A,FALSE,"SCHEDULE G";"ACCOUNT DETAIL",#N/A,FALSE,"SCHEDULE H";"ACCOUNT DETAIL",#N/A,FALSE,"SCHEDULE I"}</definedName>
    <definedName name="wrn.DETAIL._.SCHEDULES." localSheetId="1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ownside." localSheetId="2" hidden="1">{"Downside",#N/A,FALSE,"Downside"}</definedName>
    <definedName name="wrn.Downside." localSheetId="0" hidden="1">{"Downside",#N/A,FALSE,"Downside"}</definedName>
    <definedName name="wrn.Downside." localSheetId="1" hidden="1">{"Downside",#N/A,FALSE,"Downside"}</definedName>
    <definedName name="wrn.Downside." hidden="1">{"Downside",#N/A,FALSE,"Downside"}</definedName>
    <definedName name="wrn.ExitAndSalesAssumptions." localSheetId="2" hidden="1">{#N/A,#N/A,FALSE,"ExitStratigy"}</definedName>
    <definedName name="wrn.ExitAndSalesAssumptions." localSheetId="0" hidden="1">{#N/A,#N/A,FALSE,"ExitStratigy"}</definedName>
    <definedName name="wrn.ExitAndSalesAssumptions." localSheetId="1" hidden="1">{#N/A,#N/A,FALSE,"ExitStratigy"}</definedName>
    <definedName name="wrn.ExitAndSalesAssumptions." hidden="1">{#N/A,#N/A,FALSE,"ExitStratigy"}</definedName>
    <definedName name="wrn.Freq_Res." localSheetId="2" hidden="1">{#N/A,#N/A,TRUE,"FR_HC";#N/A,#N/A,TRUE,"FR_REST";#N/A,#N/A,TRUE,"FR_RETA";#N/A,#N/A,TRUE,"FR_TECSOF";#N/A,#N/A,TRUE,"FR_NETTEC";#N/A,#N/A,TRUE,"FR_CLISER"}</definedName>
    <definedName name="wrn.Freq_Res." localSheetId="0" hidden="1">{#N/A,#N/A,TRUE,"FR_HC";#N/A,#N/A,TRUE,"FR_REST";#N/A,#N/A,TRUE,"FR_RETA";#N/A,#N/A,TRUE,"FR_TECSOF";#N/A,#N/A,TRUE,"FR_NETTEC";#N/A,#N/A,TRUE,"FR_CLISER"}</definedName>
    <definedName name="wrn.Freq_Res." localSheetId="1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Golf._.Summary." localSheetId="2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0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1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 localSheetId="2" hidden="1">{#N/A,#N/A,FALSE,"Proforma Five Yr";#N/A,#N/A,FALSE,"Capital Input";#N/A,#N/A,FALSE,"Calculations";#N/A,#N/A,FALSE,"Transaction Summary-DTW"}</definedName>
    <definedName name="wrn.Investment._.Review." localSheetId="0" hidden="1">{#N/A,#N/A,FALSE,"Proforma Five Yr";#N/A,#N/A,FALSE,"Capital Input";#N/A,#N/A,FALSE,"Calculations";#N/A,#N/A,FALSE,"Transaction Summary-DTW"}</definedName>
    <definedName name="wrn.Investment._.Review." localSheetId="1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Land._.Takedown._.Summary." localSheetId="2" hidden="1">{"land1",#N/A,FALSE,"Land";"land2",#N/A,FALSE,"Land";"land3",#N/A,FALSE,"Land"}</definedName>
    <definedName name="wrn.Land._.Takedown._.Summary." localSheetId="0" hidden="1">{"land1",#N/A,FALSE,"Land";"land2",#N/A,FALSE,"Land";"land3",#N/A,FALSE,"Land"}</definedName>
    <definedName name="wrn.Land._.Takedown._.Summary." localSheetId="1" hidden="1">{"land1",#N/A,FALSE,"Land";"land2",#N/A,FALSE,"Land";"land3",#N/A,FALSE,"Land"}</definedName>
    <definedName name="wrn.Land._.Takedown._.Summary." hidden="1">{"land1",#N/A,FALSE,"Land";"land2",#N/A,FALSE,"Land";"land3",#N/A,FALSE,"Land"}</definedName>
    <definedName name="wrn.LETTERED." localSheetId="2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 localSheetId="2" hidden="1">{"Loan Summary",#N/A,FALSE,"Phase 1 loan &amp; data"}</definedName>
    <definedName name="wrn.Loan._.Summary." localSheetId="0" hidden="1">{"Loan Summary",#N/A,FALSE,"Phase 1 loan &amp; data"}</definedName>
    <definedName name="wrn.Loan._.Summary." localSheetId="1" hidden="1">{"Loan Summary",#N/A,FALSE,"Phase 1 loan &amp; data"}</definedName>
    <definedName name="wrn.Loan._.Summary." hidden="1">{"Loan Summary",#N/A,FALSE,"Phase 1 loan &amp; data"}</definedName>
    <definedName name="wrn.LoanInformation." localSheetId="2" hidden="1">{#N/A,#N/A,FALSE,"LoanAssumptions"}</definedName>
    <definedName name="wrn.LoanInformation." localSheetId="0" hidden="1">{#N/A,#N/A,FALSE,"LoanAssumptions"}</definedName>
    <definedName name="wrn.LoanInformation." localSheetId="1" hidden="1">{#N/A,#N/A,FALSE,"LoanAssumptions"}</definedName>
    <definedName name="wrn.LoanInformation." hidden="1">{#N/A,#N/A,FALSE,"LoanAssumptions"}</definedName>
    <definedName name="wrn.Lot._.Inventory." localSheetId="2" hidden="1">{"lot inventory",#N/A,FALSE,"Lot List"}</definedName>
    <definedName name="wrn.Lot._.Inventory." localSheetId="0" hidden="1">{"lot inventory",#N/A,FALSE,"Lot List"}</definedName>
    <definedName name="wrn.Lot._.Inventory." localSheetId="1" hidden="1">{"lot inventory",#N/A,FALSE,"Lot List"}</definedName>
    <definedName name="wrn.Lot._.Inventory." hidden="1">{"lot inventory",#N/A,FALSE,"Lot List"}</definedName>
    <definedName name="wrn.Lot._.Summary." localSheetId="2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0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1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 localSheetId="2" hidden="1">{#N/A,#N/A,FALSE,"MARKETING I";#N/A,#N/A,FALSE,"MARKETING II";#N/A,#N/A,FALSE,"MARKETING III"}</definedName>
    <definedName name="wrn.MARKETING." localSheetId="0" hidden="1">{#N/A,#N/A,FALSE,"MARKETING I";#N/A,#N/A,FALSE,"MARKETING II";#N/A,#N/A,FALSE,"MARKETING III"}</definedName>
    <definedName name="wrn.MARKETING." localSheetId="1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INRENT." localSheetId="2" hidden="1">{"MINRENT2",#N/A,FALSE,"SCHEDULE B"}</definedName>
    <definedName name="wrn.MINRENT." localSheetId="0" hidden="1">{"MINRENT2",#N/A,FALSE,"SCHEDULE B"}</definedName>
    <definedName name="wrn.MINRENT." localSheetId="1" hidden="1">{"MINRENT2",#N/A,FALSE,"SCHEDULE B"}</definedName>
    <definedName name="wrn.MINRENT." hidden="1">{"MINRENT2",#N/A,FALSE,"SCHEDULE B"}</definedName>
    <definedName name="wrn.mktstd." localSheetId="2" hidden="1">{"Project Input",#N/A,FALSE,"Sheet1";"additions",#N/A,FALSE,"Sheet2";"demand",#N/A,FALSE,"Sheet3";"Market Mix",#N/A,FALSE,"Sheet4";"Occ projection",#N/A,FALSE,"Sheet6"}</definedName>
    <definedName name="wrn.mktstd." localSheetId="0" hidden="1">{"Project Input",#N/A,FALSE,"Sheet1";"additions",#N/A,FALSE,"Sheet2";"demand",#N/A,FALSE,"Sheet3";"Market Mix",#N/A,FALSE,"Sheet4";"Occ projection",#N/A,FALSE,"Sheet6"}</definedName>
    <definedName name="wrn.mktstd." localSheetId="1" hidden="1">{"Project Input",#N/A,FALSE,"Sheet1";"additions",#N/A,FALSE,"Sheet2";"demand",#N/A,FALSE,"Sheet3";"Market Mix",#N/A,FALSE,"Sheet4";"Occ projection",#N/A,FALSE,"Sheet6"}</definedName>
    <definedName name="wrn.mktstd." hidden="1">{"Project Input",#N/A,FALSE,"Sheet1";"additions",#N/A,FALSE,"Sheet2";"demand",#N/A,FALSE,"Sheet3";"Market Mix",#N/A,FALSE,"Sheet4";"Occ projection",#N/A,FALSE,"Sheet6"}</definedName>
    <definedName name="wrn.MonthlyRentRoll." localSheetId="2" hidden="1">{"MonthlyRentRoll",#N/A,FALSE,"RentRoll"}</definedName>
    <definedName name="wrn.MonthlyRentRoll." localSheetId="0" hidden="1">{"MonthlyRentRoll",#N/A,FALSE,"RentRoll"}</definedName>
    <definedName name="wrn.MonthlyRentRoll." localSheetId="1" hidden="1">{"MonthlyRentRoll",#N/A,FALSE,"RentRoll"}</definedName>
    <definedName name="wrn.MonthlyRentRoll." hidden="1">{"MonthlyRentRoll",#N/A,FALSE,"RentRoll"}</definedName>
    <definedName name="wrn.OperatingAssumtions." localSheetId="2" hidden="1">{#N/A,#N/A,FALSE,"OperatingAssumptions"}</definedName>
    <definedName name="wrn.OperatingAssumtions." localSheetId="0" hidden="1">{#N/A,#N/A,FALSE,"OperatingAssumptions"}</definedName>
    <definedName name="wrn.OperatingAssumtions." localSheetId="1" hidden="1">{#N/A,#N/A,FALSE,"OperatingAssumptions"}</definedName>
    <definedName name="wrn.OperatingAssumtions." hidden="1">{#N/A,#N/A,FALSE,"OperatingAssumptions"}</definedName>
    <definedName name="wrn.Operations._.Review." localSheetId="2" hidden="1">{#N/A,#N/A,FALSE,"Proforma Five Yr";#N/A,#N/A,FALSE,"Occ and Rate";#N/A,#N/A,FALSE,"PF Input";#N/A,#N/A,FALSE,"Hotcomps"}</definedName>
    <definedName name="wrn.Operations._.Review." localSheetId="0" hidden="1">{#N/A,#N/A,FALSE,"Proforma Five Yr";#N/A,#N/A,FALSE,"Occ and Rate";#N/A,#N/A,FALSE,"PF Input";#N/A,#N/A,FALSE,"Hotcomps"}</definedName>
    <definedName name="wrn.Operations._.Review." localSheetId="1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ps._.Charlie._.Packet." localSheetId="2" hidden="1">{#N/A,#N/A,FALSE,"Proforma Five Yr";#N/A,#N/A,FALSE,"Occ and Rate";#N/A,#N/A,FALSE,"PF Input";#N/A,#N/A,FALSE,"Ops Summary";#N/A,#N/A,FALSE,"Hotcomps"}</definedName>
    <definedName name="wrn.Ops._.Charlie._.Packet." localSheetId="0" hidden="1">{#N/A,#N/A,FALSE,"Proforma Five Yr";#N/A,#N/A,FALSE,"Occ and Rate";#N/A,#N/A,FALSE,"PF Input";#N/A,#N/A,FALSE,"Ops Summary";#N/A,#N/A,FALSE,"Hotcomps"}</definedName>
    <definedName name="wrn.Ops._.Charlie._.Packet." localSheetId="1" hidden="1">{#N/A,#N/A,FALSE,"Proforma Five Yr";#N/A,#N/A,FALSE,"Occ and Rate";#N/A,#N/A,FALSE,"PF Input";#N/A,#N/A,FALSE,"Ops Summary";#N/A,#N/A,FALSE,"Hotcomps"}</definedName>
    <definedName name="wrn.Ops._.Charlie._.Packet." hidden="1">{#N/A,#N/A,FALSE,"Proforma Five Yr";#N/A,#N/A,FALSE,"Occ and Rate";#N/A,#N/A,FALSE,"PF Input";#N/A,#N/A,FALSE,"Ops Summary";#N/A,#N/A,FALSE,"Hotcomps"}</definedName>
    <definedName name="wrn.PERCENTAGE._.RENT." localSheetId="2" hidden="1">{"PERCENTAGE RENT",#N/A,TRUE,"SCHEDULE B"}</definedName>
    <definedName name="wrn.PERCENTAGE._.RENT." localSheetId="0" hidden="1">{"PERCENTAGE RENT",#N/A,TRUE,"SCHEDULE B"}</definedName>
    <definedName name="wrn.PERCENTAGE._.RENT." localSheetId="1" hidden="1">{"PERCENTAGE RENT",#N/A,TRUE,"SCHEDULE B"}</definedName>
    <definedName name="wrn.PERCENTAGE._.RENT." hidden="1">{"PERCENTAGE RENT",#N/A,TRUE,"SCHEDULE B"}</definedName>
    <definedName name="wrn.Phase._.I." localSheetId="2" hidden="1">{#N/A,#N/A,FALSE,"Transaction Summary-DTW";#N/A,#N/A,FALSE,"Proforma Five Yr";#N/A,#N/A,FALSE,"Occ and Rate"}</definedName>
    <definedName name="wrn.Phase._.I." localSheetId="0" hidden="1">{#N/A,#N/A,FALSE,"Transaction Summary-DTW";#N/A,#N/A,FALSE,"Proforma Five Yr";#N/A,#N/A,FALSE,"Occ and Rate"}</definedName>
    <definedName name="wrn.Phase._.I." localSheetId="1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resentation." localSheetId="2" hidden="1">{#N/A,#N/A,TRUE,"Summary";"AnnualRentRoll",#N/A,TRUE,"RentRoll";#N/A,#N/A,TRUE,"ExitStratigy";#N/A,#N/A,TRUE,"OperatingAssumptions"}</definedName>
    <definedName name="wrn.Presentation." localSheetId="0" hidden="1">{#N/A,#N/A,TRUE,"Summary";"AnnualRentRoll",#N/A,TRUE,"RentRoll";#N/A,#N/A,TRUE,"ExitStratigy";#N/A,#N/A,TRUE,"OperatingAssumptions"}</definedName>
    <definedName name="wrn.Presentation." localSheetId="1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2" hidden="1">{"View1",#N/A,FALSE,"Sheet1";"View2",#N/A,FALSE,"Sheet1"}</definedName>
    <definedName name="wrn.Print." localSheetId="0" hidden="1">{"View1",#N/A,FALSE,"Sheet1";"View2",#N/A,FALSE,"Sheet1"}</definedName>
    <definedName name="wrn.Print." localSheetId="1" hidden="1">{"View1",#N/A,FALSE,"Sheet1";"View2",#N/A,FALSE,"Sheet1"}</definedName>
    <definedName name="wrn.Print." hidden="1">{"View1",#N/A,FALSE,"Sheet1";"View2",#N/A,FALSE,"Sheet1"}</definedName>
    <definedName name="wrn.Print._.4." localSheetId="2" hidden="1">{"Outflow 1",#N/A,FALSE,"Outflows-Inflows";"Outflow 2",#N/A,FALSE,"Outflows-Inflows";"Inflow 1",#N/A,FALSE,"Outflows-Inflows";"Inflow 2",#N/A,FALSE,"Outflows-Inflows"}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4." localSheetId="1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2" hidden="1">{"print 1.6",#N/A,FALSE,"Sheet1";"print 2.6",#N/A,FALSE,"Sheet1";"print 3.6",#N/A,FALSE,"Sheet1";"print 4.6",#N/A,FALSE,"Sheet1";"print 5.6",#N/A,FALSE,"Sheet1";"print 6.6",#N/A,FALSE,"Sheet1"}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6." localSheetId="1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Entire._.Workbook." localSheetId="2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0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1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 localSheetId="2" hidden="1">{"View1",#N/A,FALSE,"Sheet1";"View2",#N/A,FALSE,"Sheet1"}</definedName>
    <definedName name="wrn.Print.B" localSheetId="0" hidden="1">{"View1",#N/A,FALSE,"Sheet1";"View2",#N/A,FALSE,"Sheet1"}</definedName>
    <definedName name="wrn.Print.B" localSheetId="1" hidden="1">{"View1",#N/A,FALSE,"Sheet1";"View2",#N/A,FALSE,"Sheet1"}</definedName>
    <definedName name="wrn.Print.B" hidden="1">{"View1",#N/A,FALSE,"Sheet1";"View2",#N/A,FALSE,"Sheet1"}</definedName>
    <definedName name="wrn.print2" localSheetId="2" hidden="1">{"View1",#N/A,FALSE,"Sheet1";"View2",#N/A,FALSE,"Sheet1"}</definedName>
    <definedName name="wrn.print2" localSheetId="0" hidden="1">{"View1",#N/A,FALSE,"Sheet1";"View2",#N/A,FALSE,"Sheet1"}</definedName>
    <definedName name="wrn.print2" localSheetId="1" hidden="1">{"View1",#N/A,FALSE,"Sheet1";"View2",#N/A,FALSE,"Sheet1"}</definedName>
    <definedName name="wrn.print2" hidden="1">{"View1",#N/A,FALSE,"Sheet1";"View2",#N/A,FALSE,"Sheet1"}</definedName>
    <definedName name="wrn.printb2" localSheetId="2" hidden="1">{"View1",#N/A,FALSE,"Sheet1";"View2",#N/A,FALSE,"Sheet1"}</definedName>
    <definedName name="wrn.printb2" localSheetId="0" hidden="1">{"View1",#N/A,FALSE,"Sheet1";"View2",#N/A,FALSE,"Sheet1"}</definedName>
    <definedName name="wrn.printb2" localSheetId="1" hidden="1">{"View1",#N/A,FALSE,"Sheet1";"View2",#N/A,FALSE,"Sheet1"}</definedName>
    <definedName name="wrn.printb2" hidden="1">{"View1",#N/A,FALSE,"Sheet1";"View2",#N/A,FALSE,"Sheet1"}</definedName>
    <definedName name="wrn.Prints._.All.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 localSheetId="2" hidden="1">{#N/A,#N/A,FALSE,"Occ and Rate";#N/A,#N/A,FALSE,"PF Input";#N/A,#N/A,FALSE,"Proforma Five Yr";#N/A,#N/A,FALSE,"Hotcomps"}</definedName>
    <definedName name="wrn.Proforma._.Review." localSheetId="0" hidden="1">{#N/A,#N/A,FALSE,"Occ and Rate";#N/A,#N/A,FALSE,"PF Input";#N/A,#N/A,FALSE,"Proforma Five Yr";#N/A,#N/A,FALSE,"Hotcomps"}</definedName>
    <definedName name="wrn.Proforma._.Review." localSheetId="1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pertyInformation." localSheetId="2" hidden="1">{#N/A,#N/A,FALSE,"PropertyInfo"}</definedName>
    <definedName name="wrn.PropertyInformation." localSheetId="0" hidden="1">{#N/A,#N/A,FALSE,"PropertyInfo"}</definedName>
    <definedName name="wrn.PropertyInformation." localSheetId="1" hidden="1">{#N/A,#N/A,FALSE,"PropertyInfo"}</definedName>
    <definedName name="wrn.PropertyInformation." hidden="1">{#N/A,#N/A,FALSE,"PropertyInfo"}</definedName>
    <definedName name="wrn.Quarterly._.Summary." localSheetId="2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0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1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ATES." localSheetId="2" hidden="1">{"RATES",#N/A,FALSE,"RECOVERY RATES";"CONTRIBUTIONS",#N/A,FALSE,"RECOVERY RATES";"GLA CATEGORY SUMMARY",#N/A,FALSE,"RECOVERY RATES"}</definedName>
    <definedName name="wrn.RATES." localSheetId="0" hidden="1">{"RATES",#N/A,FALSE,"RECOVERY RATES";"CONTRIBUTIONS",#N/A,FALSE,"RECOVERY RATES";"GLA CATEGORY SUMMARY",#N/A,FALSE,"RECOVERY RATES"}</definedName>
    <definedName name="wrn.RATES." localSheetId="1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V._.SAR." localSheetId="2" hidden="1">{#N/A,#N/A,FALSE,"COVER";#N/A,#N/A,FALSE,"WEEKLY SUMMARY";"RiverView I",#N/A,FALSE,"EAST TOWER";#N/A,#N/A,FALSE,"WEST TOWER";"Parking",#N/A,FALSE,"EAST TOWER"}</definedName>
    <definedName name="wrn.RV._.SAR." localSheetId="0" hidden="1">{#N/A,#N/A,FALSE,"COVER";#N/A,#N/A,FALSE,"WEEKLY SUMMARY";"RiverView I",#N/A,FALSE,"EAST TOWER";#N/A,#N/A,FALSE,"WEST TOWER";"Parking",#N/A,FALSE,"EAST TOWER"}</definedName>
    <definedName name="wrn.RV._.SAR." localSheetId="1" hidden="1">{#N/A,#N/A,FALSE,"COVER";#N/A,#N/A,FALSE,"WEEKLY SUMMARY";"RiverView I",#N/A,FALSE,"EAST TOWER";#N/A,#N/A,FALSE,"WEST TOWER";"Parking",#N/A,FALSE,"EAST TOWER"}</definedName>
    <definedName name="wrn.RV._.SAR." hidden="1">{#N/A,#N/A,FALSE,"COVER";#N/A,#N/A,FALSE,"WEEKLY SUMMARY";"RiverView I",#N/A,FALSE,"EAST TOWER";#N/A,#N/A,FALSE,"WEST TOWER";"Parking",#N/A,FALSE,"EAST TOWER"}</definedName>
    <definedName name="wrn.Scenario." localSheetId="2" hidden="1">{"scen1",#N/A,FALSE,"Scenarios";"scen2",#N/A,FALSE,"Scenarios"}</definedName>
    <definedName name="wrn.Scenario." localSheetId="0" hidden="1">{"scen1",#N/A,FALSE,"Scenarios";"scen2",#N/A,FALSE,"Scenarios"}</definedName>
    <definedName name="wrn.Scenario." localSheetId="1" hidden="1">{"scen1",#N/A,FALSE,"Scenarios";"scen2",#N/A,FALSE,"Scenarios"}</definedName>
    <definedName name="wrn.Scenario." hidden="1">{"scen1",#N/A,FALSE,"Scenarios";"scen2",#N/A,FALSE,"Scenarios"}</definedName>
    <definedName name="wrn.SCHAs." localSheetId="2" hidden="1">{"ACCOUNTING COPY",#N/A,FALSE,"SCHEDULE A";"FINANCE COPY",#N/A,FALSE,"SCHEDULE A";"P.L. COPY",#N/A,FALSE,"SCHEDULE A"}</definedName>
    <definedName name="wrn.SCHAs." localSheetId="0" hidden="1">{"ACCOUNTING COPY",#N/A,FALSE,"SCHEDULE A";"FINANCE COPY",#N/A,FALSE,"SCHEDULE A";"P.L. COPY",#N/A,FALSE,"SCHEDULE A"}</definedName>
    <definedName name="wrn.SCHAs." localSheetId="1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EDULES._.ABC." localSheetId="2" hidden="1">{#N/A,#N/A,FALSE,"SCHEDULE A";"MINIMUM RENT",#N/A,FALSE,"SCHEDULES B &amp; C";"PERCENTAGE RENT",#N/A,FALSE,"SCHEDULES B &amp; C"}</definedName>
    <definedName name="wrn.SCHEDULES._.ABC." localSheetId="0" hidden="1">{#N/A,#N/A,FALSE,"SCHEDULE A";"MINIMUM RENT",#N/A,FALSE,"SCHEDULES B &amp; C";"PERCENTAGE RENT",#N/A,FALSE,"SCHEDULES B &amp; C"}</definedName>
    <definedName name="wrn.SCHEDULES._.ABC." localSheetId="1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ummary." localSheetId="2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mmary." localSheetId="0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mmary." localSheetId="1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mmary.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 localSheetId="2" hidden="1">{"demand",#N/A,FALSE,"Sheet3";"Market Mix",#N/A,FALSE,"Sheet4";"Occ Projection",#N/A,FALSE,"Sheet6"}</definedName>
    <definedName name="wrn.SupplyDemand." localSheetId="0" hidden="1">{"demand",#N/A,FALSE,"Sheet3";"Market Mix",#N/A,FALSE,"Sheet4";"Occ Projection",#N/A,FALSE,"Sheet6"}</definedName>
    <definedName name="wrn.SupplyDemand." localSheetId="1" hidden="1">{"demand",#N/A,FALSE,"Sheet3";"Market Mix",#N/A,FALSE,"Sheet4";"Occ Projection",#N/A,FALSE,"Sheet6"}</definedName>
    <definedName name="wrn.SupplyDemand." hidden="1">{"demand",#N/A,FALSE,"Sheet3";"Market Mix",#N/A,FALSE,"Sheet4";"Occ Projection",#N/A,FALSE,"Sheet6"}</definedName>
    <definedName name="wrn.TEST." localSheetId="2" hidden="1">{#N/A,#N/A,FALSE,"SCHEDULE G"}</definedName>
    <definedName name="wrn.TEST." localSheetId="0" hidden="1">{#N/A,#N/A,FALSE,"SCHEDULE G"}</definedName>
    <definedName name="wrn.TEST." localSheetId="1" hidden="1">{#N/A,#N/A,FALSE,"SCHEDULE G"}</definedName>
    <definedName name="wrn.TEST." hidden="1">{#N/A,#N/A,FALSE,"SCHEDULE G"}</definedName>
    <definedName name="wrn.Tycon._.Model." localSheetId="2" hidden="1">{"rtn",#N/A,FALSE,"RTN";"tables",#N/A,FALSE,"RTN";"cf",#N/A,FALSE,"CF";"stats",#N/A,FALSE,"Stats";"prop",#N/A,FALSE,"Prop"}</definedName>
    <definedName name="wrn.Tycon._.Model." localSheetId="0" hidden="1">{"rtn",#N/A,FALSE,"RTN";"tables",#N/A,FALSE,"RTN";"cf",#N/A,FALSE,"CF";"stats",#N/A,FALSE,"Stats";"prop",#N/A,FALSE,"Prop"}</definedName>
    <definedName name="wrn.Tycon._.Model." localSheetId="1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valuation." localSheetId="2" hidden="1">{"Page1",#N/A,FALSE,"7979";"Page2",#N/A,FALSE,"7979";"Page3",#N/A,FALSE,"7979"}</definedName>
    <definedName name="wrn.valuation." localSheetId="0" hidden="1">{"Page1",#N/A,FALSE,"7979";"Page2",#N/A,FALSE,"7979";"Page3",#N/A,FALSE,"7979"}</definedName>
    <definedName name="wrn.valuation." localSheetId="1" hidden="1">{"Page1",#N/A,FALSE,"7979";"Page2",#N/A,FALSE,"7979";"Page3",#N/A,FALSE,"7979"}</definedName>
    <definedName name="wrn.valuation." hidden="1">{"Page1",#N/A,FALSE,"7979";"Page2",#N/A,FALSE,"7979";"Page3",#N/A,FALSE,"7979"}</definedName>
    <definedName name="wrnprintall2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 localSheetId="2" hidden="1">{"scen1",#N/A,FALSE,"Scenarios";"scen2",#N/A,FALSE,"Scenarios"}</definedName>
    <definedName name="xfg" localSheetId="0" hidden="1">{"scen1",#N/A,FALSE,"Scenarios";"scen2",#N/A,FALSE,"Scenarios"}</definedName>
    <definedName name="xfg" localSheetId="1" hidden="1">{"scen1",#N/A,FALSE,"Scenarios";"scen2",#N/A,FALSE,"Scenarios"}</definedName>
    <definedName name="xfg" hidden="1">{"scen1",#N/A,FALSE,"Scenarios";"scen2",#N/A,FALSE,"Scenarios"}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E29" i="5"/>
  <c r="E30" i="5" s="1"/>
  <c r="E21" i="5"/>
  <c r="E22" i="5" s="1"/>
  <c r="E10" i="5"/>
  <c r="E11" i="5" s="1"/>
  <c r="E24" i="5" s="1"/>
  <c r="E19" i="3"/>
  <c r="E23" i="3" s="1"/>
  <c r="E11" i="3"/>
  <c r="E15" i="3" s="1"/>
  <c r="E34" i="5" l="1"/>
  <c r="E32" i="5"/>
  <c r="E21" i="3"/>
  <c r="E25" i="3"/>
</calcChain>
</file>

<file path=xl/sharedStrings.xml><?xml version="1.0" encoding="utf-8"?>
<sst xmlns="http://schemas.openxmlformats.org/spreadsheetml/2006/main" count="43" uniqueCount="40">
  <si>
    <t>© Corporate Finance Institute. All rights reserved.</t>
  </si>
  <si>
    <t>Land Loan</t>
  </si>
  <si>
    <t>LAND LOAN ANALYSIS</t>
  </si>
  <si>
    <t>Land Price</t>
  </si>
  <si>
    <t>Property Purchase Tax</t>
  </si>
  <si>
    <t>Pursuit Costs</t>
  </si>
  <si>
    <t>Closing Costs</t>
  </si>
  <si>
    <t>CASH COST TO PURCHASE</t>
  </si>
  <si>
    <t>Rezoning Costs</t>
  </si>
  <si>
    <t>CASH COST TO PURCHASE &amp; REZONE</t>
  </si>
  <si>
    <t>CASH EQUITY</t>
  </si>
  <si>
    <t>IMPLIED EQUITY</t>
  </si>
  <si>
    <t>LAND LIFT</t>
  </si>
  <si>
    <t>Construction Loan</t>
  </si>
  <si>
    <t>CONSTRUCTION LOAN AMOUNT</t>
  </si>
  <si>
    <t>Hard Costs</t>
  </si>
  <si>
    <t>Land</t>
  </si>
  <si>
    <t>Hard Costs - Building</t>
  </si>
  <si>
    <t>Hard Costs - Servicing</t>
  </si>
  <si>
    <t>Hard Contingency</t>
  </si>
  <si>
    <t>Sub Total Hard Costs</t>
  </si>
  <si>
    <t>Eligible Soft Costs</t>
  </si>
  <si>
    <t>DCCs</t>
  </si>
  <si>
    <t>Consulting &amp; Warranty</t>
  </si>
  <si>
    <t>Finance - Interest</t>
  </si>
  <si>
    <t>Finance - Fees</t>
  </si>
  <si>
    <t>Marketing</t>
  </si>
  <si>
    <t>Commissions - at Sale</t>
  </si>
  <si>
    <t>Overhead</t>
  </si>
  <si>
    <t>Soft Contingency</t>
  </si>
  <si>
    <t>Sub Total Eligible Soft Costs</t>
  </si>
  <si>
    <t>Total Eligible Costs</t>
  </si>
  <si>
    <t>Ineligible Soft Costs</t>
  </si>
  <si>
    <t>Commissions - at Close</t>
  </si>
  <si>
    <t>Guarantee Fee</t>
  </si>
  <si>
    <t>Sub Total Ineligible Soft Costs</t>
  </si>
  <si>
    <t>Total Costs</t>
  </si>
  <si>
    <t>Construction Loan Amount</t>
  </si>
  <si>
    <t>Case Study - Land Loan and Construction Loan</t>
  </si>
  <si>
    <t>Appraisal Value based on Rezoning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</si>
</sst>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\(&quot;$&quot;#,##0\)"/>
    <numFmt numFmtId="165" formatCode="_(* #,##0.00_);_(* \(#,##0.00\);_(* &quot;-&quot;??_);_(@_)"/>
    <numFmt numFmtId="166" formatCode="[Blue]&quot;$&quot;#,##0;[Blue]\(&quot;$&quot;#,##0\);\-"/>
    <numFmt numFmtId="167" formatCode="[Blue]0.00%"/>
    <numFmt numFmtId="168" formatCode="&quot;$&quot;#,##0;\(&quot;$&quot;#,##0\);\-"/>
    <numFmt numFmtId="169" formatCode="_(* #,##0_);_(* \(#,##0\);_(* &quot;-&quot;??_);_(@_)"/>
    <numFmt numFmtId="170" formatCode="&quot;$&quot;#,##0;\(&quot;$&quot;#,##0\)"/>
    <numFmt numFmtId="171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b/>
      <sz val="14"/>
      <color theme="0"/>
      <name val="Arial Narrow"/>
      <family val="2"/>
    </font>
    <font>
      <b/>
      <sz val="12"/>
      <color theme="0"/>
      <name val="Arial Narrow"/>
      <family val="2"/>
    </font>
    <font>
      <b/>
      <sz val="11"/>
      <name val="Arial Narrow"/>
      <family val="2"/>
    </font>
    <font>
      <sz val="11"/>
      <color indexed="12"/>
      <name val="Arial Narrow"/>
      <family val="2"/>
    </font>
    <font>
      <sz val="11"/>
      <color rgb="FF0070C0"/>
      <name val="Arial Narrow"/>
      <family val="2"/>
    </font>
    <font>
      <sz val="11"/>
      <color theme="1"/>
      <name val="Arial Narrow"/>
      <family val="2"/>
    </font>
    <font>
      <sz val="11"/>
      <color rgb="FF00B050"/>
      <name val="Arial Narrow"/>
      <family val="2"/>
    </font>
    <font>
      <sz val="11"/>
      <color rgb="FF494DDF"/>
      <name val="Arial Narrow"/>
      <family val="2"/>
    </font>
    <font>
      <sz val="11"/>
      <color rgb="FF3136F7"/>
      <name val="Arial Narrow"/>
      <family val="2"/>
    </font>
    <font>
      <b/>
      <sz val="11"/>
      <color rgb="FF3136F7"/>
      <name val="Arial Narrow"/>
      <family val="2"/>
    </font>
    <font>
      <u/>
      <sz val="11"/>
      <color theme="10"/>
      <name val="Calibri"/>
      <family val="2"/>
      <scheme val="minor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0"/>
      <name val="Arial"/>
      <family val="2"/>
    </font>
    <font>
      <b/>
      <sz val="11"/>
      <color theme="0"/>
      <name val="Arial Narrow"/>
      <family val="2"/>
    </font>
    <font>
      <u/>
      <sz val="11"/>
      <color theme="0"/>
      <name val="Calibri"/>
      <family val="2"/>
      <scheme val="minor"/>
    </font>
    <font>
      <u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37" fontId="2" fillId="2" borderId="0" xfId="0" applyNumberFormat="1" applyFont="1" applyFill="1" applyAlignment="1">
      <alignment vertical="top"/>
    </xf>
    <xf numFmtId="37" fontId="3" fillId="2" borderId="0" xfId="0" applyNumberFormat="1" applyFont="1" applyFill="1" applyAlignment="1">
      <alignment vertical="top"/>
    </xf>
    <xf numFmtId="0" fontId="5" fillId="0" borderId="0" xfId="2" applyFont="1"/>
    <xf numFmtId="37" fontId="6" fillId="2" borderId="0" xfId="0" applyNumberFormat="1" applyFont="1" applyFill="1" applyAlignment="1">
      <alignment horizontal="left" vertical="top"/>
    </xf>
    <xf numFmtId="37" fontId="7" fillId="3" borderId="0" xfId="0" applyNumberFormat="1" applyFont="1" applyFill="1" applyAlignment="1">
      <alignment vertical="center"/>
    </xf>
    <xf numFmtId="37" fontId="6" fillId="3" borderId="0" xfId="0" applyNumberFormat="1" applyFont="1" applyFill="1" applyAlignment="1">
      <alignment vertical="center"/>
    </xf>
    <xf numFmtId="0" fontId="8" fillId="0" borderId="0" xfId="2" applyFont="1" applyAlignment="1">
      <alignment horizontal="center"/>
    </xf>
    <xf numFmtId="0" fontId="9" fillId="0" borderId="0" xfId="2" applyFont="1"/>
    <xf numFmtId="0" fontId="8" fillId="0" borderId="0" xfId="2" applyFont="1"/>
    <xf numFmtId="167" fontId="10" fillId="0" borderId="0" xfId="2" applyNumberFormat="1" applyFont="1"/>
    <xf numFmtId="169" fontId="5" fillId="0" borderId="0" xfId="3" applyNumberFormat="1" applyFont="1"/>
    <xf numFmtId="0" fontId="8" fillId="0" borderId="1" xfId="2" applyFont="1" applyBorder="1"/>
    <xf numFmtId="0" fontId="5" fillId="0" borderId="1" xfId="2" applyFont="1" applyBorder="1"/>
    <xf numFmtId="9" fontId="5" fillId="0" borderId="0" xfId="2" applyNumberFormat="1" applyFont="1"/>
    <xf numFmtId="165" fontId="9" fillId="0" borderId="0" xfId="2" applyNumberFormat="1" applyFont="1"/>
    <xf numFmtId="166" fontId="10" fillId="0" borderId="0" xfId="3" applyNumberFormat="1" applyFont="1"/>
    <xf numFmtId="166" fontId="5" fillId="0" borderId="0" xfId="3" applyNumberFormat="1" applyFont="1"/>
    <xf numFmtId="168" fontId="5" fillId="0" borderId="0" xfId="3" applyNumberFormat="1" applyFont="1"/>
    <xf numFmtId="168" fontId="8" fillId="0" borderId="1" xfId="3" applyNumberFormat="1" applyFont="1" applyBorder="1"/>
    <xf numFmtId="166" fontId="10" fillId="0" borderId="0" xfId="2" applyNumberFormat="1" applyFont="1" applyAlignment="1">
      <alignment horizontal="right"/>
    </xf>
    <xf numFmtId="164" fontId="7" fillId="3" borderId="0" xfId="0" applyNumberFormat="1" applyFont="1" applyFill="1" applyAlignment="1">
      <alignment vertical="center"/>
    </xf>
    <xf numFmtId="0" fontId="11" fillId="0" borderId="0" xfId="0" applyFont="1"/>
    <xf numFmtId="37" fontId="7" fillId="3" borderId="2" xfId="0" applyNumberFormat="1" applyFont="1" applyFill="1" applyBorder="1" applyAlignment="1">
      <alignment vertical="center"/>
    </xf>
    <xf numFmtId="37" fontId="7" fillId="3" borderId="3" xfId="0" applyNumberFormat="1" applyFont="1" applyFill="1" applyBorder="1" applyAlignment="1">
      <alignment vertical="center"/>
    </xf>
    <xf numFmtId="37" fontId="7" fillId="3" borderId="4" xfId="0" applyNumberFormat="1" applyFont="1" applyFill="1" applyBorder="1" applyAlignment="1">
      <alignment vertical="center"/>
    </xf>
    <xf numFmtId="0" fontId="5" fillId="0" borderId="5" xfId="2" applyFont="1" applyBorder="1"/>
    <xf numFmtId="9" fontId="13" fillId="0" borderId="0" xfId="2" applyNumberFormat="1" applyFont="1" applyAlignment="1">
      <alignment horizontal="center"/>
    </xf>
    <xf numFmtId="166" fontId="13" fillId="0" borderId="6" xfId="3" applyNumberFormat="1" applyFont="1" applyBorder="1" applyAlignment="1">
      <alignment horizontal="right"/>
    </xf>
    <xf numFmtId="0" fontId="5" fillId="0" borderId="7" xfId="2" applyFont="1" applyBorder="1"/>
    <xf numFmtId="9" fontId="14" fillId="0" borderId="8" xfId="1" applyFont="1" applyBorder="1" applyAlignment="1">
      <alignment horizontal="center"/>
    </xf>
    <xf numFmtId="0" fontId="5" fillId="0" borderId="8" xfId="2" applyFont="1" applyBorder="1"/>
    <xf numFmtId="9" fontId="14" fillId="0" borderId="0" xfId="1" applyFont="1" applyAlignment="1">
      <alignment horizontal="center"/>
    </xf>
    <xf numFmtId="168" fontId="5" fillId="0" borderId="6" xfId="3" applyNumberFormat="1" applyFont="1" applyBorder="1" applyAlignment="1">
      <alignment horizontal="right"/>
    </xf>
    <xf numFmtId="37" fontId="7" fillId="3" borderId="5" xfId="0" applyNumberFormat="1" applyFont="1" applyFill="1" applyBorder="1" applyAlignment="1">
      <alignment vertical="center"/>
    </xf>
    <xf numFmtId="37" fontId="7" fillId="3" borderId="6" xfId="0" applyNumberFormat="1" applyFont="1" applyFill="1" applyBorder="1" applyAlignment="1">
      <alignment vertical="center"/>
    </xf>
    <xf numFmtId="171" fontId="14" fillId="0" borderId="0" xfId="1" applyNumberFormat="1" applyFont="1" applyAlignment="1">
      <alignment horizontal="center"/>
    </xf>
    <xf numFmtId="171" fontId="5" fillId="0" borderId="0" xfId="1" applyNumberFormat="1" applyFont="1" applyAlignment="1">
      <alignment horizontal="center"/>
    </xf>
    <xf numFmtId="0" fontId="8" fillId="0" borderId="5" xfId="2" applyFont="1" applyBorder="1"/>
    <xf numFmtId="171" fontId="8" fillId="0" borderId="0" xfId="1" applyNumberFormat="1" applyFont="1" applyAlignment="1">
      <alignment horizontal="center"/>
    </xf>
    <xf numFmtId="0" fontId="8" fillId="0" borderId="10" xfId="2" applyFont="1" applyBorder="1"/>
    <xf numFmtId="164" fontId="8" fillId="0" borderId="11" xfId="2" applyNumberFormat="1" applyFont="1" applyBorder="1"/>
    <xf numFmtId="0" fontId="8" fillId="0" borderId="11" xfId="2" applyFont="1" applyBorder="1"/>
    <xf numFmtId="0" fontId="8" fillId="0" borderId="13" xfId="2" applyFont="1" applyBorder="1"/>
    <xf numFmtId="9" fontId="15" fillId="0" borderId="14" xfId="1" applyFont="1" applyBorder="1" applyAlignment="1">
      <alignment horizontal="center"/>
    </xf>
    <xf numFmtId="0" fontId="8" fillId="0" borderId="14" xfId="2" applyFont="1" applyBorder="1"/>
    <xf numFmtId="170" fontId="12" fillId="0" borderId="6" xfId="2" applyNumberFormat="1" applyFont="1" applyBorder="1" applyAlignment="1">
      <alignment horizontal="right"/>
    </xf>
    <xf numFmtId="168" fontId="5" fillId="0" borderId="9" xfId="3" applyNumberFormat="1" applyFont="1" applyBorder="1" applyAlignment="1">
      <alignment horizontal="right"/>
    </xf>
    <xf numFmtId="168" fontId="8" fillId="0" borderId="6" xfId="3" applyNumberFormat="1" applyFont="1" applyBorder="1" applyAlignment="1">
      <alignment horizontal="right"/>
    </xf>
    <xf numFmtId="168" fontId="8" fillId="0" borderId="12" xfId="2" applyNumberFormat="1" applyFont="1" applyBorder="1" applyAlignment="1">
      <alignment horizontal="right"/>
    </xf>
    <xf numFmtId="168" fontId="8" fillId="0" borderId="15" xfId="2" applyNumberFormat="1" applyFont="1" applyBorder="1"/>
    <xf numFmtId="0" fontId="11" fillId="4" borderId="0" xfId="5" applyFont="1" applyFill="1"/>
    <xf numFmtId="0" fontId="17" fillId="4" borderId="0" xfId="5" applyFont="1" applyFill="1" applyProtection="1">
      <protection locked="0"/>
    </xf>
    <xf numFmtId="0" fontId="18" fillId="4" borderId="0" xfId="5" applyFont="1" applyFill="1" applyAlignment="1">
      <alignment horizontal="right"/>
    </xf>
    <xf numFmtId="0" fontId="3" fillId="4" borderId="0" xfId="5" applyFont="1" applyFill="1" applyProtection="1">
      <protection locked="0"/>
    </xf>
    <xf numFmtId="0" fontId="20" fillId="4" borderId="0" xfId="5" applyFont="1" applyFill="1" applyProtection="1">
      <protection locked="0"/>
    </xf>
    <xf numFmtId="0" fontId="21" fillId="4" borderId="0" xfId="4" applyFont="1" applyFill="1" applyProtection="1">
      <protection locked="0"/>
    </xf>
    <xf numFmtId="0" fontId="3" fillId="4" borderId="0" xfId="5" applyFont="1" applyFill="1"/>
    <xf numFmtId="0" fontId="22" fillId="4" borderId="0" xfId="6" applyFont="1" applyFill="1"/>
    <xf numFmtId="0" fontId="3" fillId="4" borderId="0" xfId="5" applyFont="1" applyFill="1" applyBorder="1"/>
    <xf numFmtId="0" fontId="11" fillId="4" borderId="0" xfId="5" applyFont="1" applyFill="1" applyBorder="1"/>
    <xf numFmtId="0" fontId="21" fillId="4" borderId="0" xfId="4" applyFont="1" applyFill="1" applyBorder="1" applyProtection="1">
      <protection locked="0"/>
    </xf>
  </cellXfs>
  <cellStyles count="7">
    <cellStyle name="A3 297 x 420 mm 2" xfId="2" xr:uid="{E9E3F674-78D9-40A0-8EB6-88E52DD81170}"/>
    <cellStyle name="Comma 2" xfId="3" xr:uid="{BB41B246-0578-4804-A36F-45DB901A28D9}"/>
    <cellStyle name="Hyperlink" xfId="4" builtinId="8"/>
    <cellStyle name="Hyperlink 2 2" xfId="6" xr:uid="{850A9C1B-A425-44E8-8072-60B322E16D6C}"/>
    <cellStyle name="Normal" xfId="0" builtinId="0"/>
    <cellStyle name="Normal 2 2" xfId="5" xr:uid="{365C9625-5054-44CF-BD09-1955B766E4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nynt5\public\WINDOWS\Temporary%20Internet%20Files\OLKB353\office%20space%20beechwo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DS\STAFFING\STAFFPLN\COM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Industry%20Books\Txtm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TIVE%20Deals\2nd%20&amp;%20Pine\Financial%20Model\Second%20&amp;%20Pine%20(Starwood%20-%20All%20Resi,%20240'ft)%203-31-05%20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ice Space"/>
      <sheetName val="Model Room"/>
    </sheetNames>
    <sheetDataSet>
      <sheetData sheetId="0" refreshError="1">
        <row r="3">
          <cell r="H3">
            <v>37196</v>
          </cell>
        </row>
        <row r="9">
          <cell r="O9">
            <v>36923</v>
          </cell>
          <cell r="P9">
            <v>36951</v>
          </cell>
          <cell r="Q9">
            <v>36982</v>
          </cell>
          <cell r="R9">
            <v>37012</v>
          </cell>
          <cell r="S9">
            <v>37043</v>
          </cell>
          <cell r="T9">
            <v>36739</v>
          </cell>
          <cell r="U9">
            <v>36770</v>
          </cell>
          <cell r="V9">
            <v>36800</v>
          </cell>
          <cell r="W9">
            <v>36831</v>
          </cell>
          <cell r="X9">
            <v>36861</v>
          </cell>
          <cell r="Y9">
            <v>36892</v>
          </cell>
          <cell r="Z9">
            <v>36923</v>
          </cell>
          <cell r="AA9">
            <v>36951</v>
          </cell>
        </row>
        <row r="33">
          <cell r="O33">
            <v>670</v>
          </cell>
          <cell r="P33">
            <v>670</v>
          </cell>
          <cell r="Q33">
            <v>670</v>
          </cell>
          <cell r="R33">
            <v>750</v>
          </cell>
          <cell r="S33">
            <v>1150</v>
          </cell>
          <cell r="T33">
            <v>0</v>
          </cell>
          <cell r="U33">
            <v>0</v>
          </cell>
          <cell r="V33">
            <v>100</v>
          </cell>
          <cell r="W33">
            <v>510</v>
          </cell>
          <cell r="X33">
            <v>590</v>
          </cell>
          <cell r="Y33">
            <v>670</v>
          </cell>
          <cell r="Z33">
            <v>670</v>
          </cell>
          <cell r="AA33">
            <v>670</v>
          </cell>
        </row>
        <row r="34"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2200</v>
          </cell>
          <cell r="U34">
            <v>2200</v>
          </cell>
          <cell r="V34">
            <v>2200</v>
          </cell>
          <cell r="W34">
            <v>2200</v>
          </cell>
          <cell r="X34">
            <v>2200</v>
          </cell>
          <cell r="Y34">
            <v>2200</v>
          </cell>
          <cell r="Z34">
            <v>2200</v>
          </cell>
          <cell r="AA34">
            <v>2200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. Transaction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. Transaction"/>
      <sheetName val="#REF"/>
      <sheetName val="Txtm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_CF"/>
      <sheetName val="Sheet2"/>
      <sheetName val="Area Stack"/>
      <sheetName val="Pricing Stack"/>
      <sheetName val="CF Budget"/>
      <sheetName val="Hotel Proforma"/>
      <sheetName val="DO NOT PRINT---------------&gt;"/>
      <sheetName val="Condo Summary (Monthly)"/>
      <sheetName val="IRR (Monthly)"/>
      <sheetName val="WATERFALL"/>
      <sheetName val="Sheet1"/>
      <sheetName val="Cash Flow (Starwood)"/>
      <sheetName val="Sensitivities"/>
      <sheetName val="Assumptions"/>
      <sheetName val="Memo Tables"/>
      <sheetName val="Sections (Revised 400ft)"/>
      <sheetName val="Site_Building (Revised 400ft)"/>
      <sheetName val="Absorption Scenarios"/>
      <sheetName val="Hard Costs"/>
      <sheetName val="Condominium"/>
      <sheetName val="---------------&gt;HOTEL Operation"/>
      <sheetName val="Hotel"/>
      <sheetName val="Key Pro Forma Assumptions "/>
      <sheetName val="------&gt;Other Drivers"/>
      <sheetName val="-----&gt;Developer Model"/>
      <sheetName val="Project Management"/>
      <sheetName val="Assumptions from Developer"/>
      <sheetName val="Cash Flow"/>
      <sheetName val="FFE"/>
      <sheetName val="Retail"/>
      <sheetName val="Hard Costs (Revised 400ft)"/>
      <sheetName val="Consultant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DDAA-5F69-4B90-8C00-F9E45D640D26}">
  <dimension ref="C1:N47"/>
  <sheetViews>
    <sheetView showGridLines="0" tabSelected="1" topLeftCell="A10" zoomScaleNormal="100" workbookViewId="0">
      <selection activeCell="E21" sqref="E21"/>
    </sheetView>
  </sheetViews>
  <sheetFormatPr defaultColWidth="9.109375" defaultRowHeight="13.8" x14ac:dyDescent="0.25"/>
  <cols>
    <col min="1" max="2" width="11" style="51" customWidth="1"/>
    <col min="3" max="3" width="33.109375" style="51" customWidth="1"/>
    <col min="4" max="22" width="11" style="51" customWidth="1"/>
    <col min="23" max="25" width="9.109375" style="51"/>
    <col min="26" max="26" width="9.109375" style="51" customWidth="1"/>
    <col min="27" max="16384" width="9.109375" style="51"/>
  </cols>
  <sheetData>
    <row r="1" spans="3:14" ht="19.5" customHeight="1" x14ac:dyDescent="0.25"/>
    <row r="2" spans="3:14" ht="19.5" customHeight="1" x14ac:dyDescent="0.25"/>
    <row r="3" spans="3:14" ht="19.5" customHeight="1" x14ac:dyDescent="0.25"/>
    <row r="4" spans="3:14" ht="19.5" customHeight="1" x14ac:dyDescent="0.25"/>
    <row r="5" spans="3:14" ht="19.5" customHeight="1" x14ac:dyDescent="0.25"/>
    <row r="6" spans="3:14" ht="19.5" customHeight="1" x14ac:dyDescent="0.25"/>
    <row r="7" spans="3:14" ht="19.5" customHeight="1" x14ac:dyDescent="0.25"/>
    <row r="8" spans="3:14" ht="19.5" customHeight="1" x14ac:dyDescent="0.25"/>
    <row r="9" spans="3:14" ht="19.5" customHeight="1" x14ac:dyDescent="0.25"/>
    <row r="10" spans="3:14" ht="19.5" customHeight="1" x14ac:dyDescent="0.25"/>
    <row r="11" spans="3:14" ht="19.5" customHeight="1" x14ac:dyDescent="0.25"/>
    <row r="12" spans="3:14" ht="28.2" x14ac:dyDescent="0.5">
      <c r="C12" s="52" t="s">
        <v>38</v>
      </c>
      <c r="N12" s="53"/>
    </row>
    <row r="13" spans="3:14" ht="19.5" customHeight="1" x14ac:dyDescent="0.25">
      <c r="C13" s="54"/>
    </row>
    <row r="14" spans="3:14" ht="19.5" customHeight="1" x14ac:dyDescent="0.25">
      <c r="C14" s="55"/>
    </row>
    <row r="15" spans="3:14" ht="19.5" customHeight="1" x14ac:dyDescent="0.3">
      <c r="C15" s="61"/>
    </row>
    <row r="16" spans="3:14" ht="19.5" customHeight="1" x14ac:dyDescent="0.3">
      <c r="C16" s="56"/>
    </row>
    <row r="17" spans="3:14" ht="19.5" customHeight="1" x14ac:dyDescent="0.3">
      <c r="C17" s="56"/>
    </row>
    <row r="18" spans="3:14" ht="19.5" customHeight="1" x14ac:dyDescent="0.3">
      <c r="C18" s="56"/>
    </row>
    <row r="19" spans="3:14" ht="19.5" customHeight="1" x14ac:dyDescent="0.25">
      <c r="C19" s="57"/>
    </row>
    <row r="20" spans="3:14" ht="19.5" customHeight="1" x14ac:dyDescent="0.25">
      <c r="C20" s="57"/>
    </row>
    <row r="21" spans="3:14" ht="19.5" customHeight="1" x14ac:dyDescent="0.25"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3:14" ht="19.5" customHeight="1" x14ac:dyDescent="0.25">
      <c r="C22" s="57"/>
    </row>
    <row r="23" spans="3:14" ht="19.5" customHeight="1" x14ac:dyDescent="0.25">
      <c r="C23" s="58"/>
    </row>
    <row r="24" spans="3:14" ht="19.5" customHeight="1" x14ac:dyDescent="0.25">
      <c r="C24" s="58"/>
    </row>
    <row r="25" spans="3:14" ht="19.5" customHeight="1" x14ac:dyDescent="0.25">
      <c r="C25" s="57"/>
    </row>
    <row r="26" spans="3:14" ht="19.5" customHeight="1" x14ac:dyDescent="0.25"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3:14" ht="19.5" customHeight="1" x14ac:dyDescent="0.25"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</row>
    <row r="28" spans="3:14" ht="19.5" customHeight="1" x14ac:dyDescent="0.25"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</row>
    <row r="29" spans="3:14" ht="19.5" customHeight="1" x14ac:dyDescent="0.25"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0" spans="3:14" ht="19.5" customHeight="1" x14ac:dyDescent="0.25"/>
    <row r="31" spans="3:14" ht="19.5" customHeight="1" x14ac:dyDescent="0.25"/>
    <row r="32" spans="3:14" ht="19.5" customHeight="1" x14ac:dyDescent="0.25"/>
    <row r="33" s="51" customFormat="1" ht="19.5" customHeight="1" x14ac:dyDescent="0.25"/>
    <row r="34" s="51" customFormat="1" ht="19.5" customHeight="1" x14ac:dyDescent="0.25"/>
    <row r="35" s="51" customFormat="1" ht="19.5" customHeight="1" x14ac:dyDescent="0.25"/>
    <row r="36" s="51" customFormat="1" ht="19.5" customHeight="1" x14ac:dyDescent="0.25"/>
    <row r="37" s="51" customFormat="1" ht="19.5" customHeight="1" x14ac:dyDescent="0.25"/>
    <row r="38" s="51" customFormat="1" ht="19.5" customHeight="1" x14ac:dyDescent="0.25"/>
    <row r="39" s="51" customFormat="1" ht="19.5" customHeight="1" x14ac:dyDescent="0.25"/>
    <row r="40" s="51" customFormat="1" ht="19.5" customHeight="1" x14ac:dyDescent="0.25"/>
    <row r="41" s="51" customFormat="1" ht="19.5" customHeight="1" x14ac:dyDescent="0.25"/>
    <row r="42" s="51" customFormat="1" ht="19.5" customHeight="1" x14ac:dyDescent="0.25"/>
    <row r="43" s="51" customFormat="1" ht="19.5" customHeight="1" x14ac:dyDescent="0.25"/>
    <row r="44" s="51" customFormat="1" ht="19.5" customHeight="1" x14ac:dyDescent="0.25"/>
    <row r="45" s="51" customFormat="1" ht="19.5" customHeight="1" x14ac:dyDescent="0.25"/>
    <row r="46" s="51" customFormat="1" ht="19.5" customHeight="1" x14ac:dyDescent="0.25"/>
    <row r="47" s="51" customFormat="1" ht="19.5" customHeight="1" x14ac:dyDescent="0.25"/>
  </sheetData>
  <pageMargins left="0.7" right="0.7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A8D-898D-4B12-86AA-68901F3378AB}">
  <sheetPr>
    <pageSetUpPr fitToPage="1"/>
  </sheetPr>
  <dimension ref="A1:I25"/>
  <sheetViews>
    <sheetView showGridLines="0" zoomScaleNormal="100" workbookViewId="0">
      <selection activeCell="G13" sqref="G13"/>
    </sheetView>
  </sheetViews>
  <sheetFormatPr defaultColWidth="9.109375" defaultRowHeight="13.8" x14ac:dyDescent="0.25"/>
  <cols>
    <col min="1" max="1" width="2.109375" style="3" customWidth="1"/>
    <col min="2" max="2" width="36.44140625" style="3" customWidth="1"/>
    <col min="3" max="3" width="9.5546875" style="3" customWidth="1"/>
    <col min="4" max="4" width="2.5546875" style="3" customWidth="1"/>
    <col min="5" max="5" width="14.109375" style="3" customWidth="1"/>
    <col min="6" max="6" width="2.44140625" style="8" customWidth="1"/>
    <col min="7" max="7" width="14.5546875" style="3" customWidth="1"/>
    <col min="8" max="9" width="9.5546875" style="3" customWidth="1"/>
    <col min="10" max="16384" width="9.109375" style="3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4" spans="1:9" ht="18" x14ac:dyDescent="0.25">
      <c r="B4" s="5" t="s">
        <v>2</v>
      </c>
      <c r="C4" s="6"/>
      <c r="D4" s="5"/>
      <c r="E4" s="6"/>
      <c r="F4" s="7"/>
    </row>
    <row r="6" spans="1:9" x14ac:dyDescent="0.25">
      <c r="B6" s="3" t="s">
        <v>3</v>
      </c>
      <c r="C6" s="9"/>
      <c r="E6" s="16">
        <v>10000000</v>
      </c>
    </row>
    <row r="7" spans="1:9" x14ac:dyDescent="0.25">
      <c r="B7" s="3" t="s">
        <v>4</v>
      </c>
      <c r="C7" s="9"/>
      <c r="E7" s="17">
        <v>0</v>
      </c>
    </row>
    <row r="8" spans="1:9" x14ac:dyDescent="0.25">
      <c r="B8" s="3" t="s">
        <v>5</v>
      </c>
      <c r="C8" s="9"/>
      <c r="E8" s="16">
        <v>50000</v>
      </c>
    </row>
    <row r="9" spans="1:9" x14ac:dyDescent="0.25">
      <c r="B9" s="3" t="s">
        <v>6</v>
      </c>
      <c r="C9" s="10">
        <v>0.01</v>
      </c>
      <c r="E9" s="18">
        <f>C9*E6</f>
        <v>100000</v>
      </c>
    </row>
    <row r="10" spans="1:9" ht="4.5" customHeight="1" x14ac:dyDescent="0.25">
      <c r="B10" s="9"/>
      <c r="C10" s="9"/>
      <c r="E10" s="11"/>
    </row>
    <row r="11" spans="1:9" x14ac:dyDescent="0.25">
      <c r="B11" s="12" t="s">
        <v>7</v>
      </c>
      <c r="C11" s="12"/>
      <c r="D11" s="13"/>
      <c r="E11" s="19">
        <f>SUM(E6:E9)</f>
        <v>10150000</v>
      </c>
    </row>
    <row r="12" spans="1:9" x14ac:dyDescent="0.25">
      <c r="B12" s="9"/>
      <c r="C12" s="9"/>
      <c r="E12" s="14"/>
      <c r="F12" s="15"/>
    </row>
    <row r="13" spans="1:9" x14ac:dyDescent="0.25">
      <c r="B13" s="3" t="s">
        <v>8</v>
      </c>
      <c r="C13" s="9"/>
      <c r="E13" s="20">
        <v>225000</v>
      </c>
    </row>
    <row r="15" spans="1:9" x14ac:dyDescent="0.25">
      <c r="B15" s="12" t="s">
        <v>9</v>
      </c>
      <c r="C15" s="12"/>
      <c r="D15" s="13"/>
      <c r="E15" s="19">
        <f>E13+E11</f>
        <v>10375000</v>
      </c>
    </row>
    <row r="17" spans="2:5" x14ac:dyDescent="0.25">
      <c r="B17" s="3" t="s">
        <v>39</v>
      </c>
      <c r="E17" s="20">
        <v>13500000</v>
      </c>
    </row>
    <row r="19" spans="2:5" x14ac:dyDescent="0.25">
      <c r="B19" s="3" t="s">
        <v>1</v>
      </c>
      <c r="C19" s="10">
        <v>0.5</v>
      </c>
      <c r="E19" s="18">
        <f>E17*C19</f>
        <v>6750000</v>
      </c>
    </row>
    <row r="21" spans="2:5" x14ac:dyDescent="0.25">
      <c r="B21" s="12" t="s">
        <v>10</v>
      </c>
      <c r="C21" s="12"/>
      <c r="D21" s="13"/>
      <c r="E21" s="19">
        <f>E15-E19</f>
        <v>3625000</v>
      </c>
    </row>
    <row r="23" spans="2:5" x14ac:dyDescent="0.25">
      <c r="B23" s="12" t="s">
        <v>11</v>
      </c>
      <c r="C23" s="12"/>
      <c r="D23" s="13"/>
      <c r="E23" s="19">
        <f>E17-E19</f>
        <v>6750000</v>
      </c>
    </row>
    <row r="25" spans="2:5" ht="15.6" x14ac:dyDescent="0.25">
      <c r="B25" s="5" t="s">
        <v>12</v>
      </c>
      <c r="C25" s="5"/>
      <c r="D25" s="5"/>
      <c r="E25" s="21">
        <f>E17-E15</f>
        <v>3125000</v>
      </c>
    </row>
  </sheetData>
  <pageMargins left="0.31" right="0.2" top="0.25" bottom="0.2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F765-5FF8-48DF-983E-AD7C64A76E03}">
  <dimension ref="A1:I34"/>
  <sheetViews>
    <sheetView showGridLines="0" workbookViewId="0">
      <selection activeCell="G40" sqref="G40"/>
    </sheetView>
  </sheetViews>
  <sheetFormatPr defaultColWidth="9.109375" defaultRowHeight="13.8" x14ac:dyDescent="0.25"/>
  <cols>
    <col min="1" max="1" width="2.109375" style="3" customWidth="1"/>
    <col min="2" max="2" width="36.44140625" style="3" customWidth="1"/>
    <col min="3" max="3" width="9.5546875" style="3" customWidth="1"/>
    <col min="4" max="4" width="2.5546875" style="3" customWidth="1"/>
    <col min="5" max="5" width="14.109375" style="3" customWidth="1"/>
    <col min="6" max="6" width="2.44140625" style="22" customWidth="1"/>
    <col min="7" max="7" width="14.5546875" style="22" customWidth="1"/>
    <col min="8" max="9" width="9.5546875" style="22" customWidth="1"/>
    <col min="10" max="16384" width="9.109375" style="22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" x14ac:dyDescent="0.25">
      <c r="A2" s="4" t="s">
        <v>13</v>
      </c>
      <c r="B2" s="2"/>
      <c r="C2" s="2"/>
      <c r="D2" s="2"/>
      <c r="E2" s="2"/>
      <c r="F2" s="2"/>
      <c r="G2" s="2"/>
      <c r="H2" s="2"/>
      <c r="I2" s="2"/>
    </row>
    <row r="4" spans="1:9" ht="15.6" x14ac:dyDescent="0.25">
      <c r="B4" s="5" t="s">
        <v>14</v>
      </c>
      <c r="C4" s="5"/>
      <c r="D4" s="5"/>
      <c r="E4" s="5"/>
    </row>
    <row r="5" spans="1:9" ht="14.4" thickBot="1" x14ac:dyDescent="0.3"/>
    <row r="6" spans="1:9" ht="15.6" x14ac:dyDescent="0.25">
      <c r="B6" s="23" t="s">
        <v>15</v>
      </c>
      <c r="C6" s="24"/>
      <c r="D6" s="24"/>
      <c r="E6" s="25"/>
    </row>
    <row r="7" spans="1:9" x14ac:dyDescent="0.25">
      <c r="B7" s="26" t="s">
        <v>16</v>
      </c>
      <c r="E7" s="46">
        <v>13500000</v>
      </c>
    </row>
    <row r="8" spans="1:9" x14ac:dyDescent="0.25">
      <c r="B8" s="26" t="s">
        <v>17</v>
      </c>
      <c r="C8" s="27"/>
      <c r="E8" s="28">
        <v>9000000</v>
      </c>
    </row>
    <row r="9" spans="1:9" x14ac:dyDescent="0.25">
      <c r="B9" s="26" t="s">
        <v>18</v>
      </c>
      <c r="E9" s="28">
        <v>1500000</v>
      </c>
    </row>
    <row r="10" spans="1:9" x14ac:dyDescent="0.25">
      <c r="B10" s="29" t="s">
        <v>19</v>
      </c>
      <c r="C10" s="30">
        <v>0.05</v>
      </c>
      <c r="D10" s="31"/>
      <c r="E10" s="47">
        <f>ROUND((E8+E9)*C10,-3)</f>
        <v>525000</v>
      </c>
    </row>
    <row r="11" spans="1:9" x14ac:dyDescent="0.25">
      <c r="B11" s="26" t="s">
        <v>20</v>
      </c>
      <c r="C11" s="32"/>
      <c r="E11" s="33">
        <f>SUM(E7:E10)</f>
        <v>24525000</v>
      </c>
    </row>
    <row r="12" spans="1:9" x14ac:dyDescent="0.25">
      <c r="B12" s="26"/>
      <c r="C12" s="32"/>
      <c r="E12" s="33"/>
    </row>
    <row r="13" spans="1:9" ht="15.6" x14ac:dyDescent="0.25">
      <c r="B13" s="34" t="s">
        <v>21</v>
      </c>
      <c r="C13" s="5"/>
      <c r="D13" s="5"/>
      <c r="E13" s="35"/>
    </row>
    <row r="14" spans="1:9" x14ac:dyDescent="0.25">
      <c r="B14" s="26" t="s">
        <v>22</v>
      </c>
      <c r="E14" s="28">
        <v>2000000</v>
      </c>
    </row>
    <row r="15" spans="1:9" x14ac:dyDescent="0.25">
      <c r="B15" s="26" t="s">
        <v>23</v>
      </c>
      <c r="E15" s="28">
        <v>700000</v>
      </c>
    </row>
    <row r="16" spans="1:9" x14ac:dyDescent="0.25">
      <c r="B16" s="26" t="s">
        <v>24</v>
      </c>
      <c r="E16" s="28">
        <v>775000</v>
      </c>
    </row>
    <row r="17" spans="2:5" x14ac:dyDescent="0.25">
      <c r="B17" s="26" t="s">
        <v>25</v>
      </c>
      <c r="E17" s="28">
        <v>225000</v>
      </c>
    </row>
    <row r="18" spans="2:5" x14ac:dyDescent="0.25">
      <c r="B18" s="26" t="s">
        <v>26</v>
      </c>
      <c r="E18" s="28">
        <v>800000</v>
      </c>
    </row>
    <row r="19" spans="2:5" x14ac:dyDescent="0.25">
      <c r="B19" s="26" t="s">
        <v>27</v>
      </c>
      <c r="C19" s="36"/>
      <c r="E19" s="28">
        <v>650000</v>
      </c>
    </row>
    <row r="20" spans="2:5" x14ac:dyDescent="0.25">
      <c r="B20" s="26" t="s">
        <v>28</v>
      </c>
      <c r="C20" s="37"/>
      <c r="E20" s="28">
        <v>850000</v>
      </c>
    </row>
    <row r="21" spans="2:5" x14ac:dyDescent="0.25">
      <c r="B21" s="29" t="s">
        <v>29</v>
      </c>
      <c r="C21" s="30">
        <v>0.05</v>
      </c>
      <c r="D21" s="31"/>
      <c r="E21" s="47">
        <f>ROUND(SUM(E14:E20)*C21,-3)</f>
        <v>300000</v>
      </c>
    </row>
    <row r="22" spans="2:5" x14ac:dyDescent="0.25">
      <c r="B22" s="26" t="s">
        <v>30</v>
      </c>
      <c r="C22" s="37"/>
      <c r="E22" s="33">
        <f>SUM(E14:E21)</f>
        <v>6300000</v>
      </c>
    </row>
    <row r="23" spans="2:5" x14ac:dyDescent="0.25">
      <c r="B23" s="26"/>
      <c r="C23" s="37"/>
      <c r="E23" s="28"/>
    </row>
    <row r="24" spans="2:5" x14ac:dyDescent="0.25">
      <c r="B24" s="38" t="s">
        <v>31</v>
      </c>
      <c r="C24" s="39"/>
      <c r="D24" s="9"/>
      <c r="E24" s="48">
        <f>+E11+E22</f>
        <v>30825000</v>
      </c>
    </row>
    <row r="25" spans="2:5" x14ac:dyDescent="0.25">
      <c r="B25" s="26"/>
      <c r="C25" s="37"/>
      <c r="E25" s="28"/>
    </row>
    <row r="26" spans="2:5" ht="15.6" x14ac:dyDescent="0.25">
      <c r="B26" s="34" t="s">
        <v>32</v>
      </c>
      <c r="C26" s="5"/>
      <c r="D26" s="5"/>
      <c r="E26" s="35"/>
    </row>
    <row r="27" spans="2:5" x14ac:dyDescent="0.25">
      <c r="B27" s="26" t="s">
        <v>33</v>
      </c>
      <c r="C27" s="36"/>
      <c r="E27" s="28">
        <v>650000</v>
      </c>
    </row>
    <row r="28" spans="2:5" x14ac:dyDescent="0.25">
      <c r="B28" s="26" t="s">
        <v>34</v>
      </c>
      <c r="C28" s="32"/>
      <c r="E28" s="28">
        <v>150000</v>
      </c>
    </row>
    <row r="29" spans="2:5" x14ac:dyDescent="0.25">
      <c r="B29" s="29" t="s">
        <v>29</v>
      </c>
      <c r="C29" s="30">
        <v>0.05</v>
      </c>
      <c r="D29" s="31"/>
      <c r="E29" s="47">
        <f>ROUND(SUM(E27:E28)*C29,-3)</f>
        <v>40000</v>
      </c>
    </row>
    <row r="30" spans="2:5" x14ac:dyDescent="0.25">
      <c r="B30" s="26" t="s">
        <v>35</v>
      </c>
      <c r="C30" s="37"/>
      <c r="E30" s="33">
        <f>SUM(E27:E29)</f>
        <v>840000</v>
      </c>
    </row>
    <row r="31" spans="2:5" x14ac:dyDescent="0.25">
      <c r="B31" s="26"/>
      <c r="C31" s="37"/>
      <c r="E31" s="33"/>
    </row>
    <row r="32" spans="2:5" ht="14.4" thickBot="1" x14ac:dyDescent="0.3">
      <c r="B32" s="40" t="s">
        <v>36</v>
      </c>
      <c r="C32" s="41"/>
      <c r="D32" s="42"/>
      <c r="E32" s="49">
        <f>+E24+E30</f>
        <v>31665000</v>
      </c>
    </row>
    <row r="33" spans="2:5" ht="14.4" thickBot="1" x14ac:dyDescent="0.3"/>
    <row r="34" spans="2:5" ht="14.4" thickBot="1" x14ac:dyDescent="0.3">
      <c r="B34" s="43" t="s">
        <v>37</v>
      </c>
      <c r="C34" s="44">
        <v>0.7</v>
      </c>
      <c r="D34" s="45"/>
      <c r="E34" s="50">
        <f>+C34*E24</f>
        <v>21577500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 Page</vt:lpstr>
      <vt:lpstr>Land Loan</vt:lpstr>
      <vt:lpstr>Constr Loan Amt</vt:lpstr>
      <vt:lpstr>'Cover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Guruprasad V</cp:lastModifiedBy>
  <dcterms:created xsi:type="dcterms:W3CDTF">2019-02-28T23:08:03Z</dcterms:created>
  <dcterms:modified xsi:type="dcterms:W3CDTF">2026-06-08T07:46:38Z</dcterms:modified>
</cp:coreProperties>
</file>