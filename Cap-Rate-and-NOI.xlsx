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rasad\Downloads\"/>
    </mc:Choice>
  </mc:AlternateContent>
  <xr:revisionPtr revIDLastSave="0" documentId="13_ncr:1_{7AB189D1-4341-44DD-824C-A4881A83C920}" xr6:coauthVersionLast="47" xr6:coauthVersionMax="47" xr10:uidLastSave="{00000000-0000-0000-0000-000000000000}"/>
  <bookViews>
    <workbookView xWindow="22932" yWindow="-5208" windowWidth="30936" windowHeight="16776" xr2:uid="{66639830-91EB-4189-A43F-18E7A7C7F640}"/>
  </bookViews>
  <sheets>
    <sheet name="Cover Page" sheetId="5" r:id="rId1"/>
    <sheet name="Cap Rate &amp; NOI" sheetId="3" r:id="rId2"/>
    <sheet name="raw data" sheetId="2" r:id="rId3"/>
  </sheets>
  <externalReferences>
    <externalReference r:id="rId4"/>
    <externalReference r:id="rId5"/>
    <externalReference r:id="rId6"/>
    <externalReference r:id="rId7"/>
  </externalReferences>
  <definedNames>
    <definedName name="__123Graph_ACurrent" hidden="1">'[1]Office Space'!$O$33:$AA$33</definedName>
    <definedName name="__123Graph_B" localSheetId="1" hidden="1">'[2]Comp. Transaction'!#REF!</definedName>
    <definedName name="__123Graph_B" hidden="1">'[2]Comp. Transaction'!#REF!</definedName>
    <definedName name="__123Graph_BCurrent" hidden="1">'[1]Office Space'!$O$34:$AA$34</definedName>
    <definedName name="__123Graph_D" localSheetId="1" hidden="1">'[2]Comp. Transaction'!#REF!</definedName>
    <definedName name="__123Graph_D" hidden="1">'[2]Comp. Transaction'!#REF!</definedName>
    <definedName name="__123Graph_XCurrent" hidden="1">'[1]Office Space'!$O$9:$AA$9</definedName>
    <definedName name="__FDS_HYPERLINK_TOGGLE_STATE__" hidden="1">"ON"</definedName>
    <definedName name="_2_0__123Grap" localSheetId="1" hidden="1">'[3]Comp. Transaction'!#REF!</definedName>
    <definedName name="_2_0__123Grap" hidden="1">'[3]Comp. Transaction'!#REF!</definedName>
    <definedName name="_4_0__123Grap" localSheetId="1" hidden="1">'[3]Comp. Transaction'!#REF!</definedName>
    <definedName name="_4_0__123Grap" hidden="1">'[3]Comp. Transaction'!#REF!</definedName>
    <definedName name="_fff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 localSheetId="1" hidden="1">#REF!</definedName>
    <definedName name="_Fil1" hidden="1">#REF!</definedName>
    <definedName name="_Fill" localSheetId="1" hidden="1">#REF!</definedName>
    <definedName name="_Fill" hidden="1">#REF!</definedName>
    <definedName name="_ggg2" localSheetId="1" hidden="1">{"View1",#N/A,FALSE,"Sheet1";"View2",#N/A,FALSE,"Sheet1"}</definedName>
    <definedName name="_ggg2" localSheetId="0" hidden="1">{"View1",#N/A,FALSE,"Sheet1";"View2",#N/A,FALSE,"Sheet1"}</definedName>
    <definedName name="_ggg2" hidden="1">{"View1",#N/A,FALSE,"Sheet1";"View2",#N/A,FALSE,"Sheet1"}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ey5" localSheetId="1" hidden="1">#REF!</definedName>
    <definedName name="_Key5" hidden="1">#REF!</definedName>
    <definedName name="_Key6" localSheetId="1" hidden="1">#REF!</definedName>
    <definedName name="_Key6" hidden="1">#REF!</definedName>
    <definedName name="_Key8" localSheetId="1" hidden="1">#REF!</definedName>
    <definedName name="_Key8" hidden="1">#REF!</definedName>
    <definedName name="_Key9" localSheetId="1" hidden="1">#REF!</definedName>
    <definedName name="_Key9" hidden="1">#REF!</definedName>
    <definedName name="_MRG2" localSheetId="1" hidden="1">{"INCOME",#N/A,FALSE,"ProNet";"VALUE",#N/A,FALSE,"ProNet"}</definedName>
    <definedName name="_MRG2" localSheetId="0" hidden="1">{"INCOME",#N/A,FALSE,"ProNet";"VALUE",#N/A,FALSE,"ProNet"}</definedName>
    <definedName name="_MRG2" hidden="1">{"INCOME",#N/A,FALSE,"ProNet";"VALUE",#N/A,FALSE,"ProNet"}</definedName>
    <definedName name="_Order1" hidden="1">255</definedName>
    <definedName name="_Order2" hidden="1">255</definedName>
    <definedName name="_Sort" localSheetId="1" hidden="1">#REF!</definedName>
    <definedName name="_Sor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[4]Current_CF!#REF!</definedName>
    <definedName name="_Table2_Out" hidden="1">[4]Current_CF!#REF!</definedName>
    <definedName name="a" localSheetId="1" hidden="1">#REF!</definedName>
    <definedName name="a" hidden="1">#REF!</definedName>
    <definedName name="aaaaaa" localSheetId="1" hidden="1">#REF!</definedName>
    <definedName name="aaaaaa" hidden="1">#REF!</definedName>
    <definedName name="aaaaaaa" localSheetId="1" hidden="1">{"Outflow 1",#N/A,FALSE,"Outflows-Inflows";"Outflow 2",#N/A,FALSE,"Outflows-Inflows";"Inflow 1",#N/A,FALSE,"Outflows-Inflows";"Inflow 2",#N/A,FALSE,"Outflows-Inflows"}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sdfa" localSheetId="1" hidden="1">{"rtn",#N/A,FALSE,"RTN";"tables",#N/A,FALSE,"RTN";"cf",#N/A,FALSE,"CF";"stats",#N/A,FALSE,"Stats";"prop",#N/A,FALSE,"Prop"}</definedName>
    <definedName name="aasdfa" localSheetId="0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nscount" hidden="1">1</definedName>
    <definedName name="as" localSheetId="1" hidden="1">{"Outflow 1",#N/A,FALSE,"Outflows-Inflows";"Outflow 2",#N/A,FALSE,"Outflows-Inflows";"Inflow 1",#N/A,FALSE,"Outflows-Inflows";"Inflow 2",#N/A,FALSE,"Outflows-Inflows"}</definedName>
    <definedName name="as" localSheetId="0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fas" localSheetId="1" hidden="1">{"print 1.6",#N/A,FALSE,"Sheet1";"print 2.6",#N/A,FALSE,"Sheet1";"print 3.6",#N/A,FALSE,"Sheet1";"print 4.6",#N/A,FALSE,"Sheet1";"print 5.6",#N/A,FALSE,"Sheet1";"print 6.6",#N/A,FALSE,"Sheet1"}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1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1" hidden="1">{"rtn",#N/A,FALSE,"RTN";"tables",#N/A,FALSE,"RTN";"cf",#N/A,FALSE,"CF";"stats",#N/A,FALSE,"Stats";"prop",#N/A,FALSE,"Prop"}</definedName>
    <definedName name="asdfasdf" localSheetId="0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fag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 localSheetId="1" hidden="1">{"print 1.6",#N/A,FALSE,"Sheet1";"print 2.6",#N/A,FALSE,"Sheet1";"print 3.6",#N/A,FALSE,"Sheet1";"print 4.6",#N/A,FALSE,"Sheet1";"print 5.6",#N/A,FALSE,"Sheet1";"print 6.6",#N/A,FALSE,"Sheet1"}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localSheetId="1" hidden="1">{"rtn",#N/A,FALSE,"RTN";"tables",#N/A,FALSE,"RTN";"cf",#N/A,FALSE,"CF";"stats",#N/A,FALSE,"Stats";"prop",#N/A,FALSE,"Prop"}</definedName>
    <definedName name="asss" localSheetId="0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z" localSheetId="1" hidden="1">{#N/A,#N/A,FALSE,"Trans Summary";#N/A,#N/A,FALSE,"Proforma Five Yr";#N/A,#N/A,FALSE,"Occ and Rate"}</definedName>
    <definedName name="az" localSheetId="0" hidden="1">{#N/A,#N/A,FALSE,"Trans Summary";#N/A,#N/A,FALSE,"Proforma Five Yr";#N/A,#N/A,FALSE,"Occ and Rate"}</definedName>
    <definedName name="az" hidden="1">{#N/A,#N/A,FALSE,"Trans Summary";#N/A,#N/A,FALSE,"Proforma Five Yr";#N/A,#N/A,FALSE,"Occ and Rate"}</definedName>
    <definedName name="BadLink" localSheetId="1" hidden="1">#REF!</definedName>
    <definedName name="BadLink" hidden="1">#REF!</definedName>
    <definedName name="ccc" localSheetId="1" hidden="1">{#N/A,#N/A,FALSE,"LoanAssumptions"}</definedName>
    <definedName name="ccc" localSheetId="0" hidden="1">{#N/A,#N/A,FALSE,"LoanAssumptions"}</definedName>
    <definedName name="ccc" hidden="1">{#N/A,#N/A,FALSE,"LoanAssumptions"}</definedName>
    <definedName name="CIQWBGuid" localSheetId="0" hidden="1">"2cd8126d-26c3-430c-b7fa-a069e3a1fc62"</definedName>
    <definedName name="CIQWBGuid" hidden="1">"3a76856e-063b-4329-b2c5-ae285df6792b"</definedName>
    <definedName name="construction" localSheetId="1" hidden="1">{"Construction Costs",#N/A,FALSE,"Total Costs"}</definedName>
    <definedName name="construction" localSheetId="0" hidden="1">{"Construction Costs",#N/A,FALSE,"Total Costs"}</definedName>
    <definedName name="construction" hidden="1">{"Construction Costs",#N/A,FALSE,"Total Costs"}</definedName>
    <definedName name="Cottage" localSheetId="1" hidden="1">{"cot1",#N/A,FALSE,"Cottages";"cot2",#N/A,FALSE,"Cottages";"cot3",#N/A,FALSE,"Cottages"}</definedName>
    <definedName name="Cottage" localSheetId="0" hidden="1">{"cot1",#N/A,FALSE,"Cottages";"cot2",#N/A,FALSE,"Cottages";"cot3",#N/A,FALSE,"Cottages"}</definedName>
    <definedName name="Cottage" hidden="1">{"cot1",#N/A,FALSE,"Cottages";"cot2",#N/A,FALSE,"Cottages";"cot3",#N/A,FALSE,"Cottages"}</definedName>
    <definedName name="d" localSheetId="1" hidden="1">'[2]Comp. Transaction'!#REF!</definedName>
    <definedName name="d" hidden="1">'[2]Comp. Transaction'!#REF!</definedName>
    <definedName name="dc" localSheetId="1" hidden="1">{#N/A,#N/A,FALSE,"Proforma Five Yr";#N/A,#N/A,FALSE,"Capital Input";#N/A,#N/A,FALSE,"Calculations";#N/A,#N/A,FALSE,"Transaction Summary-DTW"}</definedName>
    <definedName name="dc" localSheetId="0" hidden="1">{#N/A,#N/A,FALSE,"Proforma Five Yr";#N/A,#N/A,FALSE,"Capital Input";#N/A,#N/A,FALSE,"Calculations";#N/A,#N/A,FALSE,"Transaction Summary-DTW"}</definedName>
    <definedName name="dc" hidden="1">{#N/A,#N/A,FALSE,"Proforma Five Yr";#N/A,#N/A,FALSE,"Capital Input";#N/A,#N/A,FALSE,"Calculations";#N/A,#N/A,FALSE,"Transaction Summary-DTW"}</definedName>
    <definedName name="del" localSheetId="1" hidden="1">{"Page1",#N/A,FALSE,"7979";"Page2",#N/A,FALSE,"7979";"Page3",#N/A,FALSE,"7979"}</definedName>
    <definedName name="del" localSheetId="0" hidden="1">{"Page1",#N/A,FALSE,"7979";"Page2",#N/A,FALSE,"7979";"Page3",#N/A,FALSE,"7979"}</definedName>
    <definedName name="del" hidden="1">{"Page1",#N/A,FALSE,"7979";"Page2",#N/A,FALSE,"7979";"Page3",#N/A,FALSE,"7979"}</definedName>
    <definedName name="er" localSheetId="1" hidden="1">{"demand",#N/A,FALSE,"Sheet3";"Market Mix",#N/A,FALSE,"Sheet4";"Occ Projection",#N/A,FALSE,"Sheet6"}</definedName>
    <definedName name="er" localSheetId="0" hidden="1">{"demand",#N/A,FALSE,"Sheet3";"Market Mix",#N/A,FALSE,"Sheet4";"Occ Projection",#N/A,FALSE,"Sheet6"}</definedName>
    <definedName name="er" hidden="1">{"demand",#N/A,FALSE,"Sheet3";"Market Mix",#N/A,FALSE,"Sheet4";"Occ Projection",#N/A,FALSE,"Sheet6"}</definedName>
    <definedName name="fds" localSheetId="1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0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f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f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 localSheetId="1" hidden="1">{"Annual Cash Flows",#N/A,FALSE,"Annual Summary"}</definedName>
    <definedName name="filler" localSheetId="0" hidden="1">{"Annual Cash Flows",#N/A,FALSE,"Annual Summary"}</definedName>
    <definedName name="filler" hidden="1">{"Annual Cash Flows",#N/A,FALSE,"Annual Summary"}</definedName>
    <definedName name="filler2" localSheetId="1" hidden="1">{"Assumptions",#N/A,FALSE,"Assumptions"}</definedName>
    <definedName name="filler2" localSheetId="0" hidden="1">{"Assumptions",#N/A,FALSE,"Assumptions"}</definedName>
    <definedName name="filler2" hidden="1">{"Assumptions",#N/A,FALSE,"Assumptions"}</definedName>
    <definedName name="filler3" localSheetId="1" hidden="1">{"Construction Costs",#N/A,FALSE,"Total Costs"}</definedName>
    <definedName name="filler3" localSheetId="0" hidden="1">{"Construction Costs",#N/A,FALSE,"Total Costs"}</definedName>
    <definedName name="filler3" hidden="1">{"Construction Costs",#N/A,FALSE,"Total Costs"}</definedName>
    <definedName name="fv" localSheetId="1" hidden="1">{"Project Input",#N/A,FALSE,"Sheet1";"additions",#N/A,FALSE,"Sheet2";"demand",#N/A,FALSE,"Sheet3";"Market Mix",#N/A,FALSE,"Sheet4";"Occ projection",#N/A,FALSE,"Sheet6"}</definedName>
    <definedName name="fv" localSheetId="0" hidden="1">{"Project Input",#N/A,FALSE,"Sheet1";"additions",#N/A,FALSE,"Sheet2";"demand",#N/A,FALSE,"Sheet3";"Market Mix",#N/A,FALSE,"Sheet4";"Occ projection",#N/A,FALSE,"Sheet6"}</definedName>
    <definedName name="fv" hidden="1">{"Project Input",#N/A,FALSE,"Sheet1";"additions",#N/A,FALSE,"Sheet2";"demand",#N/A,FALSE,"Sheet3";"Market Mix",#N/A,FALSE,"Sheet4";"Occ projection",#N/A,FALSE,"Sheet6"}</definedName>
    <definedName name="gb" localSheetId="1" hidden="1">{#N/A,#N/A,FALSE,"Proforma Five Yr";#N/A,#N/A,FALSE,"Occ and Rate";#N/A,#N/A,FALSE,"PF Input";#N/A,#N/A,FALSE,"Hotcomps"}</definedName>
    <definedName name="gb" localSheetId="0" hidden="1">{#N/A,#N/A,FALSE,"Proforma Five Yr";#N/A,#N/A,FALSE,"Occ and Rate";#N/A,#N/A,FALSE,"PF Input";#N/A,#N/A,FALSE,"Hotcomps"}</definedName>
    <definedName name="gb" hidden="1">{#N/A,#N/A,FALSE,"Proforma Five Yr";#N/A,#N/A,FALSE,"Occ and Rate";#N/A,#N/A,FALSE,"PF Input";#N/A,#N/A,FALSE,"Hotcomps"}</definedName>
    <definedName name="gg" localSheetId="1" hidden="1">{"View1",#N/A,FALSE,"Sheet1";"View2",#N/A,FALSE,"Sheet1"}</definedName>
    <definedName name="gg" localSheetId="0" hidden="1">{"View1",#N/A,FALSE,"Sheet1";"View2",#N/A,FALSE,"Sheet1"}</definedName>
    <definedName name="gg" hidden="1">{"View1",#N/A,FALSE,"Sheet1";"View2",#N/A,FALSE,"Sheet1"}</definedName>
    <definedName name="ggg" localSheetId="1" hidden="1">{"View1",#N/A,FALSE,"Sheet1";"View2",#N/A,FALSE,"Sheet1"}</definedName>
    <definedName name="ggg" localSheetId="0" hidden="1">{"View1",#N/A,FALSE,"Sheet1";"View2",#N/A,FALSE,"Sheet1"}</definedName>
    <definedName name="ggg" hidden="1">{"View1",#N/A,FALSE,"Sheet1";"View2",#N/A,FALSE,"Sheet1"}</definedName>
    <definedName name="gggg2" localSheetId="1" hidden="1">{"View1",#N/A,FALSE,"Sheet1";"View2",#N/A,FALSE,"Sheet1"}</definedName>
    <definedName name="gggg2" localSheetId="0" hidden="1">{"View1",#N/A,FALSE,"Sheet1";"View2",#N/A,FALSE,"Sheet1"}</definedName>
    <definedName name="gggg2" hidden="1">{"View1",#N/A,FALSE,"Sheet1";"View2",#N/A,FALSE,"Sheet1"}</definedName>
    <definedName name="h" localSheetId="1" hidden="1">{#N/A,#N/A,FALSE,"PropertyInfo"}</definedName>
    <definedName name="h" localSheetId="0" hidden="1">{#N/A,#N/A,FALSE,"PropertyInfo"}</definedName>
    <definedName name="h" hidden="1">{#N/A,#N/A,FALSE,"PropertyInfo"}</definedName>
    <definedName name="hh" localSheetId="1" hidden="1">{#N/A,#N/A,FALSE,"Summary"}</definedName>
    <definedName name="hh" localSheetId="0" hidden="1">{#N/A,#N/A,FALSE,"Summary"}</definedName>
    <definedName name="hh" hidden="1">{#N/A,#N/A,FALSE,"Summary"}</definedName>
    <definedName name="hn" localSheetId="1" hidden="1">{#N/A,#N/A,FALSE,"Proforma Five Yr";#N/A,#N/A,FALSE,"Occ and Rate";#N/A,#N/A,FALSE,"PF Input";#N/A,#N/A,FALSE,"Ops Summary";#N/A,#N/A,FALSE,"Hotcomps"}</definedName>
    <definedName name="hn" localSheetId="0" hidden="1">{#N/A,#N/A,FALSE,"Proforma Five Yr";#N/A,#N/A,FALSE,"Occ and Rate";#N/A,#N/A,FALSE,"PF Input";#N/A,#N/A,FALSE,"Ops Summary";#N/A,#N/A,FALSE,"Hotcomps"}</definedName>
    <definedName name="hn" hidden="1">{#N/A,#N/A,FALSE,"Proforma Five Yr";#N/A,#N/A,FALSE,"Occ and Rate";#N/A,#N/A,FALSE,"PF Input";#N/A,#N/A,FALSE,"Ops Summary";#N/A,#N/A,FALSE,"Hotcomps"}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41666.7099189815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RG" localSheetId="1" hidden="1">{"INCOME",#N/A,FALSE,"ProNet";"VALUE",#N/A,FALSE,"ProNet"}</definedName>
    <definedName name="MRG" localSheetId="0" hidden="1">{"INCOME",#N/A,FALSE,"ProNet";"VALUE",#N/A,FALSE,"ProNet"}</definedName>
    <definedName name="MRG" hidden="1">{"INCOME",#N/A,FALSE,"ProNet";"VALUE",#N/A,FALSE,"ProNet"}</definedName>
    <definedName name="Name1" localSheetId="1" hidden="1">{"cot1",#N/A,FALSE,"Cottages";"cot2",#N/A,FALSE,"Cottages";"cot3",#N/A,FALSE,"Cottages"}</definedName>
    <definedName name="Name1" localSheetId="0" hidden="1">{"cot1",#N/A,FALSE,"Cottages";"cot2",#N/A,FALSE,"Cottages";"cot3",#N/A,FALSE,"Cottages"}</definedName>
    <definedName name="Name1" hidden="1">{"cot1",#N/A,FALSE,"Cottages";"cot2",#N/A,FALSE,"Cottages";"cot3",#N/A,FALSE,"Cottages"}</definedName>
    <definedName name="newrange" localSheetId="1" hidden="1">{"Annual Cash Flows",#N/A,FALSE,"Annual Summary"}</definedName>
    <definedName name="newrange" localSheetId="0" hidden="1">{"Annual Cash Flows",#N/A,FALSE,"Annual Summary"}</definedName>
    <definedName name="newrange" hidden="1">{"Annual Cash Flows",#N/A,FALSE,"Annual Summary"}</definedName>
    <definedName name="PJAM3Yr" localSheetId="1" hidden="1">{"INCOME",#N/A,FALSE,"ProNet";"VALUE",#N/A,FALSE,"ProNet"}</definedName>
    <definedName name="PJAM3Yr" localSheetId="0" hidden="1">{"INCOME",#N/A,FALSE,"ProNet";"VALUE",#N/A,FALSE,"ProNet"}</definedName>
    <definedName name="PJAM3Yr" hidden="1">{"INCOME",#N/A,FALSE,"ProNet";"VALUE",#N/A,FALSE,"ProNet"}</definedName>
    <definedName name="_xlnm.Print_Area" localSheetId="0">'Cover Page'!$A$1:$P$26</definedName>
    <definedName name="promte" localSheetId="1" hidden="1">{"Assumptions",#N/A,FALSE,"Assumptions"}</definedName>
    <definedName name="promte" localSheetId="0" hidden="1">{"Assumptions",#N/A,FALSE,"Assumptions"}</definedName>
    <definedName name="promte" hidden="1">{"Assumptions",#N/A,FALSE,"Assumptions"}</definedName>
    <definedName name="qw" localSheetId="1" hidden="1">{#N/A,#N/A,FALSE,"Transaction Summary-DTW";#N/A,#N/A,FALSE,"Proforma Five Yr";#N/A,#N/A,FALSE,"Occ and Rate"}</definedName>
    <definedName name="qw" localSheetId="0" hidden="1">{#N/A,#N/A,FALSE,"Transaction Summary-DTW";#N/A,#N/A,FALSE,"Proforma Five Yr";#N/A,#N/A,FALSE,"Occ and Rate"}</definedName>
    <definedName name="qw" hidden="1">{#N/A,#N/A,FALSE,"Transaction Summary-DTW";#N/A,#N/A,FALSE,"Proforma Five Yr";#N/A,#N/A,FALSE,"Occ and Rate"}</definedName>
    <definedName name="saa" localSheetId="1" hidden="1">{"rtn",#N/A,FALSE,"RTN";"tables",#N/A,FALSE,"RTN";"cf",#N/A,FALSE,"CF";"stats",#N/A,FALSE,"Stats";"prop",#N/A,FALSE,"Prop"}</definedName>
    <definedName name="saa" localSheetId="0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s" localSheetId="1" hidden="1">{"Outflow 1",#N/A,FALSE,"Outflows-Inflows";"Outflow 2",#N/A,FALSE,"Outflows-Inflows";"Inflow 1",#N/A,FALSE,"Outflows-Inflows";"Inflow 2",#N/A,FALSE,"Outflows-Inflows"}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dfass" localSheetId="1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x" localSheetId="1" hidden="1">{#N/A,#N/A,FALSE,"Occ and Rate";#N/A,#N/A,FALSE,"PF Input";#N/A,#N/A,FALSE,"Capital Input";#N/A,#N/A,FALSE,"Proforma Five Yr";#N/A,#N/A,FALSE,"Calculations";#N/A,#N/A,FALSE,"Transaction Summary-DTW"}</definedName>
    <definedName name="sx" localSheetId="0" hidden="1">{#N/A,#N/A,FALSE,"Occ and Rate";#N/A,#N/A,FALSE,"PF Input";#N/A,#N/A,FALSE,"Capital Input";#N/A,#N/A,FALSE,"Proforma Five Yr";#N/A,#N/A,FALSE,"Calculations";#N/A,#N/A,FALSE,"Transaction Summary-DTW"}</definedName>
    <definedName name="sx" hidden="1">{#N/A,#N/A,FALSE,"Occ and Rate";#N/A,#N/A,FALSE,"PF Input";#N/A,#N/A,FALSE,"Capital Input";#N/A,#N/A,FALSE,"Proforma Five Yr";#N/A,#N/A,FALSE,"Calculations";#N/A,#N/A,FALSE,"Transaction Summary-DTW"}</definedName>
    <definedName name="Table_3out" localSheetId="1" hidden="1">#REF!</definedName>
    <definedName name="Table_3out" hidden="1">#REF!</definedName>
    <definedName name="Test" localSheetId="1" hidden="1">{"INCOME",#N/A,FALSE,"ProNet";"VALUE",#N/A,FALSE,"ProNet"}</definedName>
    <definedName name="Test" localSheetId="0" hidden="1">{"INCOME",#N/A,FALSE,"ProNet";"VALUE",#N/A,FALSE,"ProNet"}</definedName>
    <definedName name="Test" hidden="1">{"INCOME",#N/A,FALSE,"ProNet";"VALUE",#N/A,FALSE,"ProNet"}</definedName>
    <definedName name="Test2" localSheetId="1" hidden="1">{"INCOME",#N/A,FALSE,"ProNet";"VALUE",#N/A,FALSE,"ProNet"}</definedName>
    <definedName name="Test2" localSheetId="0" hidden="1">{"INCOME",#N/A,FALSE,"ProNet";"VALUE",#N/A,FALSE,"ProNet"}</definedName>
    <definedName name="Test2" hidden="1">{"INCOME",#N/A,FALSE,"ProNet";"VALUE",#N/A,FALSE,"ProNet"}</definedName>
    <definedName name="Test3" localSheetId="1" hidden="1">{"INCOME",#N/A,FALSE,"ProNet";"VALUE",#N/A,FALSE,"ProNet"}</definedName>
    <definedName name="Test3" localSheetId="0" hidden="1">{"INCOME",#N/A,FALSE,"ProNet";"VALUE",#N/A,FALSE,"ProNet"}</definedName>
    <definedName name="Test3" hidden="1">{"INCOME",#N/A,FALSE,"ProNet";"VALUE",#N/A,FALSE,"ProNet"}</definedName>
    <definedName name="test4" localSheetId="1" hidden="1">{"CHART",#N/A,FALSE,"Arch Communications"}</definedName>
    <definedName name="test4" localSheetId="0" hidden="1">{"CHART",#N/A,FALSE,"Arch Communications"}</definedName>
    <definedName name="test4" hidden="1">{"CHART",#N/A,FALSE,"Arch Communications"}</definedName>
    <definedName name="we" localSheetId="1" hidden="1">{#N/A,#N/A,FALSE,"Occ and Rate";#N/A,#N/A,FALSE,"PF Input";#N/A,#N/A,FALSE,"Proforma Five Yr";#N/A,#N/A,FALSE,"Hotcomps"}</definedName>
    <definedName name="we" localSheetId="0" hidden="1">{#N/A,#N/A,FALSE,"Occ and Rate";#N/A,#N/A,FALSE,"PF Input";#N/A,#N/A,FALSE,"Proforma Five Yr";#N/A,#N/A,FALSE,"Hotcomps"}</definedName>
    <definedName name="we" hidden="1">{#N/A,#N/A,FALSE,"Occ and Rate";#N/A,#N/A,FALSE,"PF Input";#N/A,#N/A,FALSE,"Proforma Five Yr";#N/A,#N/A,FALSE,"Hotcomps"}</definedName>
    <definedName name="what" localSheetId="1" hidden="1">{"Page1",#N/A,FALSE,"7979";"Page2",#N/A,FALSE,"7979";"Page3",#N/A,FALSE,"7979"}</definedName>
    <definedName name="what" localSheetId="0" hidden="1">{"Page1",#N/A,FALSE,"7979";"Page2",#N/A,FALSE,"7979";"Page3",#N/A,FALSE,"7979"}</definedName>
    <definedName name="what" hidden="1">{"Page1",#N/A,FALSE,"7979";"Page2",#N/A,FALSE,"7979";"Page3",#N/A,FALSE,"7979"}</definedName>
    <definedName name="wrn.Acq._.Model." localSheetId="1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localSheetId="0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localSheetId="1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localSheetId="0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 localSheetId="1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0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 localSheetId="1" hidden="1">{"Annual Cash Flows",#N/A,FALSE,"Annual Summary"}</definedName>
    <definedName name="wrn.Annual._.Summary." localSheetId="0" hidden="1">{"Annual Cash Flows",#N/A,FALSE,"Annual Summary"}</definedName>
    <definedName name="wrn.Annual._.Summary." hidden="1">{"Annual Cash Flows",#N/A,FALSE,"Annual Summary"}</definedName>
    <definedName name="wrn.AnnualRentRoll." localSheetId="1" hidden="1">{"AnnualRentRoll",#N/A,FALSE,"RentRoll"}</definedName>
    <definedName name="wrn.AnnualRentRoll." localSheetId="0" hidden="1">{"AnnualRentRoll",#N/A,FALSE,"RentRoll"}</definedName>
    <definedName name="wrn.AnnualRentRoll." hidden="1">{"AnnualRentRoll",#N/A,FALSE,"RentRoll"}</definedName>
    <definedName name="wrn.Assumptions." localSheetId="1" hidden="1">{"Assumptions",#N/A,FALSE,"Assumptions"}</definedName>
    <definedName name="wrn.Assumptions." localSheetId="0" hidden="1">{"Assumptions",#N/A,FALSE,"Assumptions"}</definedName>
    <definedName name="wrn.Assumptions." hidden="1">{"Assumptions",#N/A,FALSE,"Assumptions"}</definedName>
    <definedName name="wrn.Birdie." localSheetId="1" hidden="1">{#N/A,#N/A,FALSE,"Trans Summary";#N/A,#N/A,FALSE,"Proforma Five Yr";#N/A,#N/A,FALSE,"Occ and Rate"}</definedName>
    <definedName name="wrn.Birdie." localSheetId="0" hidden="1">{#N/A,#N/A,FALSE,"Trans Summary";#N/A,#N/A,FALSE,"Proforma Five Yr";#N/A,#N/A,FALSE,"Occ and Rate"}</definedName>
    <definedName name="wrn.Birdie." hidden="1">{#N/A,#N/A,FALSE,"Trans Summary";#N/A,#N/A,FALSE,"Proforma Five Yr";#N/A,#N/A,FALSE,"Occ and Rate"}</definedName>
    <definedName name="wrn.Capx." localSheetId="1" hidden="1">{"Capx/exp",#N/A,FALSE,"CapX"}</definedName>
    <definedName name="wrn.Capx." localSheetId="0" hidden="1">{"Capx/exp",#N/A,FALSE,"CapX"}</definedName>
    <definedName name="wrn.Capx." hidden="1">{"Capx/exp",#N/A,FALSE,"CapX"}</definedName>
    <definedName name="wrn.CHART." localSheetId="1" hidden="1">{"CHART",#N/A,FALSE,"Arch Communications"}</definedName>
    <definedName name="wrn.CHART." localSheetId="0" hidden="1">{"CHART",#N/A,FALSE,"Arch Communications"}</definedName>
    <definedName name="wrn.CHART." hidden="1">{"CHART",#N/A,FALSE,"Arch Communications"}</definedName>
    <definedName name="wrn.Complete._.Review." localSheetId="1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0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struction._.Costs." localSheetId="1" hidden="1">{"Construction Costs",#N/A,FALSE,"Total Costs"}</definedName>
    <definedName name="wrn.Construction._.Costs." localSheetId="0" hidden="1">{"Construction Costs",#N/A,FALSE,"Total Costs"}</definedName>
    <definedName name="wrn.Construction._.Costs." hidden="1">{"Construction Costs",#N/A,FALSE,"Total Costs"}</definedName>
    <definedName name="wrn.Cottage._.Summary." localSheetId="1" hidden="1">{"cot1",#N/A,FALSE,"Cottages";"cot2",#N/A,FALSE,"Cottages";"cot3",#N/A,FALSE,"Cottages"}</definedName>
    <definedName name="wrn.Cottage._.Summary." localSheetId="0" hidden="1">{"cot1",#N/A,FALSE,"Cottages";"cot2",#N/A,FALSE,"Cottages";"cot3",#N/A,FALSE,"Cottages"}</definedName>
    <definedName name="wrn.Cottage._.Summary." hidden="1">{"cot1",#N/A,FALSE,"Cottages";"cot2",#N/A,FALSE,"Cottages";"cot3",#N/A,FALSE,"Cottages"}</definedName>
    <definedName name="wrn.DETAIL._.SCHEDULES." localSheetId="1" hidden="1">{"ACCOUNT DETAIL",#N/A,FALSE,"SCHEDULE E";"ACCOUNT DETAIL",#N/A,FALSE,"SCHEDULE G";"ACCOUNT DETAIL",#N/A,FALSE,"SCHEDULE H";"ACCOUNT DETAIL",#N/A,FALSE,"SCHEDULE I"}</definedName>
    <definedName name="wrn.DETAIL._.SCHEDULES." localSheetId="0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ownside." localSheetId="1" hidden="1">{"Downside",#N/A,FALSE,"Downside"}</definedName>
    <definedName name="wrn.Downside." localSheetId="0" hidden="1">{"Downside",#N/A,FALSE,"Downside"}</definedName>
    <definedName name="wrn.Downside." hidden="1">{"Downside",#N/A,FALSE,"Downside"}</definedName>
    <definedName name="wrn.ExitAndSalesAssumptions." localSheetId="1" hidden="1">{#N/A,#N/A,FALSE,"ExitStratigy"}</definedName>
    <definedName name="wrn.ExitAndSalesAssumptions." localSheetId="0" hidden="1">{#N/A,#N/A,FALSE,"ExitStratigy"}</definedName>
    <definedName name="wrn.ExitAndSalesAssumptions." hidden="1">{#N/A,#N/A,FALSE,"ExitStratigy"}</definedName>
    <definedName name="wrn.Freq_Res." localSheetId="1" hidden="1">{#N/A,#N/A,TRUE,"FR_HC";#N/A,#N/A,TRUE,"FR_REST";#N/A,#N/A,TRUE,"FR_RETA";#N/A,#N/A,TRUE,"FR_TECSOF";#N/A,#N/A,TRUE,"FR_NETTEC";#N/A,#N/A,TRUE,"FR_CLISER"}</definedName>
    <definedName name="wrn.Freq_Res." localSheetId="0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Golf._.Summary." localSheetId="1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0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 localSheetId="1" hidden="1">{#N/A,#N/A,FALSE,"Proforma Five Yr";#N/A,#N/A,FALSE,"Capital Input";#N/A,#N/A,FALSE,"Calculations";#N/A,#N/A,FALSE,"Transaction Summary-DTW"}</definedName>
    <definedName name="wrn.Investment._.Review." localSheetId="0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Land._.Takedown._.Summary." localSheetId="1" hidden="1">{"land1",#N/A,FALSE,"Land";"land2",#N/A,FALSE,"Land";"land3",#N/A,FALSE,"Land"}</definedName>
    <definedName name="wrn.Land._.Takedown._.Summary." localSheetId="0" hidden="1">{"land1",#N/A,FALSE,"Land";"land2",#N/A,FALSE,"Land";"land3",#N/A,FALSE,"Land"}</definedName>
    <definedName name="wrn.Land._.Takedown._.Summary." hidden="1">{"land1",#N/A,FALSE,"Land";"land2",#N/A,FALSE,"Land";"land3",#N/A,FALSE,"Land"}</definedName>
    <definedName name="wrn.LETTERED.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 localSheetId="1" hidden="1">{"Loan Summary",#N/A,FALSE,"Phase 1 loan &amp; data"}</definedName>
    <definedName name="wrn.Loan._.Summary." localSheetId="0" hidden="1">{"Loan Summary",#N/A,FALSE,"Phase 1 loan &amp; data"}</definedName>
    <definedName name="wrn.Loan._.Summary." hidden="1">{"Loan Summary",#N/A,FALSE,"Phase 1 loan &amp; data"}</definedName>
    <definedName name="wrn.LoanInformation." localSheetId="1" hidden="1">{#N/A,#N/A,FALSE,"LoanAssumptions"}</definedName>
    <definedName name="wrn.LoanInformation." localSheetId="0" hidden="1">{#N/A,#N/A,FALSE,"LoanAssumptions"}</definedName>
    <definedName name="wrn.LoanInformation." hidden="1">{#N/A,#N/A,FALSE,"LoanAssumptions"}</definedName>
    <definedName name="wrn.Lot._.Inventory." localSheetId="1" hidden="1">{"lot inventory",#N/A,FALSE,"Lot List"}</definedName>
    <definedName name="wrn.Lot._.Inventory." localSheetId="0" hidden="1">{"lot inventory",#N/A,FALSE,"Lot List"}</definedName>
    <definedName name="wrn.Lot._.Inventory." hidden="1">{"lot inventory",#N/A,FALSE,"Lot List"}</definedName>
    <definedName name="wrn.Lot._.Summary." localSheetId="1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0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 localSheetId="1" hidden="1">{#N/A,#N/A,FALSE,"MARKETING I";#N/A,#N/A,FALSE,"MARKETING II";#N/A,#N/A,FALSE,"MARKETING III"}</definedName>
    <definedName name="wrn.MARKETING." localSheetId="0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INRENT." localSheetId="1" hidden="1">{"MINRENT2",#N/A,FALSE,"SCHEDULE B"}</definedName>
    <definedName name="wrn.MINRENT." localSheetId="0" hidden="1">{"MINRENT2",#N/A,FALSE,"SCHEDULE B"}</definedName>
    <definedName name="wrn.MINRENT." hidden="1">{"MINRENT2",#N/A,FALSE,"SCHEDULE B"}</definedName>
    <definedName name="wrn.mktstd." localSheetId="1" hidden="1">{"Project Input",#N/A,FALSE,"Sheet1";"additions",#N/A,FALSE,"Sheet2";"demand",#N/A,FALSE,"Sheet3";"Market Mix",#N/A,FALSE,"Sheet4";"Occ projection",#N/A,FALSE,"Sheet6"}</definedName>
    <definedName name="wrn.mktstd." localSheetId="0" hidden="1">{"Project Input",#N/A,FALSE,"Sheet1";"additions",#N/A,FALSE,"Sheet2";"demand",#N/A,FALSE,"Sheet3";"Market Mix",#N/A,FALSE,"Sheet4";"Occ projection",#N/A,FALSE,"Sheet6"}</definedName>
    <definedName name="wrn.mktstd." hidden="1">{"Project Input",#N/A,FALSE,"Sheet1";"additions",#N/A,FALSE,"Sheet2";"demand",#N/A,FALSE,"Sheet3";"Market Mix",#N/A,FALSE,"Sheet4";"Occ projection",#N/A,FALSE,"Sheet6"}</definedName>
    <definedName name="wrn.MonthlyRentRoll." localSheetId="1" hidden="1">{"MonthlyRentRoll",#N/A,FALSE,"RentRoll"}</definedName>
    <definedName name="wrn.MonthlyRentRoll." localSheetId="0" hidden="1">{"MonthlyRentRoll",#N/A,FALSE,"RentRoll"}</definedName>
    <definedName name="wrn.MonthlyRentRoll." hidden="1">{"MonthlyRentRoll",#N/A,FALSE,"RentRoll"}</definedName>
    <definedName name="wrn.OperatingAssumtions." localSheetId="1" hidden="1">{#N/A,#N/A,FALSE,"OperatingAssumptions"}</definedName>
    <definedName name="wrn.OperatingAssumtions." localSheetId="0" hidden="1">{#N/A,#N/A,FALSE,"OperatingAssumptions"}</definedName>
    <definedName name="wrn.OperatingAssumtions." hidden="1">{#N/A,#N/A,FALSE,"OperatingAssumptions"}</definedName>
    <definedName name="wrn.Operations._.Review." localSheetId="1" hidden="1">{#N/A,#N/A,FALSE,"Proforma Five Yr";#N/A,#N/A,FALSE,"Occ and Rate";#N/A,#N/A,FALSE,"PF Input";#N/A,#N/A,FALSE,"Hotcomps"}</definedName>
    <definedName name="wrn.Operations._.Review." localSheetId="0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ps._.Charlie._.Packet." localSheetId="1" hidden="1">{#N/A,#N/A,FALSE,"Proforma Five Yr";#N/A,#N/A,FALSE,"Occ and Rate";#N/A,#N/A,FALSE,"PF Input";#N/A,#N/A,FALSE,"Ops Summary";#N/A,#N/A,FALSE,"Hotcomps"}</definedName>
    <definedName name="wrn.Ops._.Charlie._.Packet." localSheetId="0" hidden="1">{#N/A,#N/A,FALSE,"Proforma Five Yr";#N/A,#N/A,FALSE,"Occ and Rate";#N/A,#N/A,FALSE,"PF Input";#N/A,#N/A,FALSE,"Ops Summary";#N/A,#N/A,FALSE,"Hotcomps"}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PERCENTAGE._.RENT." localSheetId="1" hidden="1">{"PERCENTAGE RENT",#N/A,TRUE,"SCHEDULE B"}</definedName>
    <definedName name="wrn.PERCENTAGE._.RENT." localSheetId="0" hidden="1">{"PERCENTAGE RENT",#N/A,TRUE,"SCHEDULE B"}</definedName>
    <definedName name="wrn.PERCENTAGE._.RENT." hidden="1">{"PERCENTAGE RENT",#N/A,TRUE,"SCHEDULE B"}</definedName>
    <definedName name="wrn.Phase._.I." localSheetId="1" hidden="1">{#N/A,#N/A,FALSE,"Transaction Summary-DTW";#N/A,#N/A,FALSE,"Proforma Five Yr";#N/A,#N/A,FALSE,"Occ and Rate"}</definedName>
    <definedName name="wrn.Phase._.I." localSheetId="0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resentation." localSheetId="1" hidden="1">{#N/A,#N/A,TRUE,"Summary";"AnnualRentRoll",#N/A,TRUE,"RentRoll";#N/A,#N/A,TRUE,"ExitStratigy";#N/A,#N/A,TRUE,"OperatingAssumptions"}</definedName>
    <definedName name="wrn.Presentation." localSheetId="0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1" hidden="1">{"View1",#N/A,FALSE,"Sheet1";"View2",#N/A,FALSE,"Sheet1"}</definedName>
    <definedName name="wrn.Print." localSheetId="0" hidden="1">{"View1",#N/A,FALSE,"Sheet1";"View2",#N/A,FALSE,"Sheet1"}</definedName>
    <definedName name="wrn.Print." hidden="1">{"View1",#N/A,FALSE,"Sheet1";"View2",#N/A,FALSE,"Sheet1"}</definedName>
    <definedName name="wrn.Print._.4." localSheetId="1" hidden="1">{"Outflow 1",#N/A,FALSE,"Outflows-Inflows";"Outflow 2",#N/A,FALSE,"Outflows-Inflows";"Inflow 1",#N/A,FALSE,"Outflows-Inflows";"Inflow 2",#N/A,FALSE,"Outflows-Inflows"}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1" hidden="1">{"print 1.6",#N/A,FALSE,"Sheet1";"print 2.6",#N/A,FALSE,"Sheet1";"print 3.6",#N/A,FALSE,"Sheet1";"print 4.6",#N/A,FALSE,"Sheet1";"print 5.6",#N/A,FALSE,"Sheet1";"print 6.6",#N/A,FALSE,"Sheet1"}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Entire._.Workbook." localSheetId="1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0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 localSheetId="1" hidden="1">{"View1",#N/A,FALSE,"Sheet1";"View2",#N/A,FALSE,"Sheet1"}</definedName>
    <definedName name="wrn.Print.B" localSheetId="0" hidden="1">{"View1",#N/A,FALSE,"Sheet1";"View2",#N/A,FALSE,"Sheet1"}</definedName>
    <definedName name="wrn.Print.B" hidden="1">{"View1",#N/A,FALSE,"Sheet1";"View2",#N/A,FALSE,"Sheet1"}</definedName>
    <definedName name="wrn.print2" localSheetId="1" hidden="1">{"View1",#N/A,FALSE,"Sheet1";"View2",#N/A,FALSE,"Sheet1"}</definedName>
    <definedName name="wrn.print2" localSheetId="0" hidden="1">{"View1",#N/A,FALSE,"Sheet1";"View2",#N/A,FALSE,"Sheet1"}</definedName>
    <definedName name="wrn.print2" hidden="1">{"View1",#N/A,FALSE,"Sheet1";"View2",#N/A,FALSE,"Sheet1"}</definedName>
    <definedName name="wrn.printb2" localSheetId="1" hidden="1">{"View1",#N/A,FALSE,"Sheet1";"View2",#N/A,FALSE,"Sheet1"}</definedName>
    <definedName name="wrn.printb2" localSheetId="0" hidden="1">{"View1",#N/A,FALSE,"Sheet1";"View2",#N/A,FALSE,"Sheet1"}</definedName>
    <definedName name="wrn.printb2" hidden="1">{"View1",#N/A,FALSE,"Sheet1";"View2",#N/A,FALSE,"Sheet1"}</definedName>
    <definedName name="wrn.Prints._.All.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 localSheetId="1" hidden="1">{#N/A,#N/A,FALSE,"Occ and Rate";#N/A,#N/A,FALSE,"PF Input";#N/A,#N/A,FALSE,"Proforma Five Yr";#N/A,#N/A,FALSE,"Hotcomps"}</definedName>
    <definedName name="wrn.Proforma._.Review." localSheetId="0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pertyInformation." localSheetId="1" hidden="1">{#N/A,#N/A,FALSE,"PropertyInfo"}</definedName>
    <definedName name="wrn.PropertyInformation." localSheetId="0" hidden="1">{#N/A,#N/A,FALSE,"PropertyInfo"}</definedName>
    <definedName name="wrn.PropertyInformation." hidden="1">{#N/A,#N/A,FALSE,"PropertyInfo"}</definedName>
    <definedName name="wrn.Quarterly._.Summary." localSheetId="1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0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TES." localSheetId="1" hidden="1">{"RATES",#N/A,FALSE,"RECOVERY RATES";"CONTRIBUTIONS",#N/A,FALSE,"RECOVERY RATES";"GLA CATEGORY SUMMARY",#N/A,FALSE,"RECOVERY RATES"}</definedName>
    <definedName name="wrn.RATES." localSheetId="0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V._.SAR." localSheetId="1" hidden="1">{#N/A,#N/A,FALSE,"COVER";#N/A,#N/A,FALSE,"WEEKLY SUMMARY";"RiverView I",#N/A,FALSE,"EAST TOWER";#N/A,#N/A,FALSE,"WEST TOWER";"Parking",#N/A,FALSE,"EAST TOWER"}</definedName>
    <definedName name="wrn.RV._.SAR." localSheetId="0" hidden="1">{#N/A,#N/A,FALSE,"COVER";#N/A,#N/A,FALSE,"WEEKLY SUMMARY";"RiverView I",#N/A,FALSE,"EAST TOWER";#N/A,#N/A,FALSE,"WEST TOWER";"Parking",#N/A,FALSE,"EAST TOWER"}</definedName>
    <definedName name="wrn.RV._.SAR." hidden="1">{#N/A,#N/A,FALSE,"COVER";#N/A,#N/A,FALSE,"WEEKLY SUMMARY";"RiverView I",#N/A,FALSE,"EAST TOWER";#N/A,#N/A,FALSE,"WEST TOWER";"Parking",#N/A,FALSE,"EAST TOWER"}</definedName>
    <definedName name="wrn.Scenario." localSheetId="1" hidden="1">{"scen1",#N/A,FALSE,"Scenarios";"scen2",#N/A,FALSE,"Scenarios"}</definedName>
    <definedName name="wrn.Scenario." localSheetId="0" hidden="1">{"scen1",#N/A,FALSE,"Scenarios";"scen2",#N/A,FALSE,"Scenarios"}</definedName>
    <definedName name="wrn.Scenario." hidden="1">{"scen1",#N/A,FALSE,"Scenarios";"scen2",#N/A,FALSE,"Scenarios"}</definedName>
    <definedName name="wrn.SCHAs." localSheetId="1" hidden="1">{"ACCOUNTING COPY",#N/A,FALSE,"SCHEDULE A";"FINANCE COPY",#N/A,FALSE,"SCHEDULE A";"P.L. COPY",#N/A,FALSE,"SCHEDULE A"}</definedName>
    <definedName name="wrn.SCHAs." localSheetId="0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EDULES._.ABC." localSheetId="1" hidden="1">{#N/A,#N/A,FALSE,"SCHEDULE A";"MINIMUM RENT",#N/A,FALSE,"SCHEDULES B &amp; C";"PERCENTAGE RENT",#N/A,FALSE,"SCHEDULES B &amp; C"}</definedName>
    <definedName name="wrn.SCHEDULES._.ABC." localSheetId="0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ummary." localSheetId="1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" localSheetId="0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 localSheetId="1" hidden="1">{"demand",#N/A,FALSE,"Sheet3";"Market Mix",#N/A,FALSE,"Sheet4";"Occ Projection",#N/A,FALSE,"Sheet6"}</definedName>
    <definedName name="wrn.SupplyDemand." localSheetId="0" hidden="1">{"demand",#N/A,FALSE,"Sheet3";"Market Mix",#N/A,FALSE,"Sheet4";"Occ Projection",#N/A,FALSE,"Sheet6"}</definedName>
    <definedName name="wrn.SupplyDemand." hidden="1">{"demand",#N/A,FALSE,"Sheet3";"Market Mix",#N/A,FALSE,"Sheet4";"Occ Projection",#N/A,FALSE,"Sheet6"}</definedName>
    <definedName name="wrn.TEST." localSheetId="1" hidden="1">{#N/A,#N/A,FALSE,"SCHEDULE G"}</definedName>
    <definedName name="wrn.TEST." localSheetId="0" hidden="1">{#N/A,#N/A,FALSE,"SCHEDULE G"}</definedName>
    <definedName name="wrn.TEST." hidden="1">{#N/A,#N/A,FALSE,"SCHEDULE G"}</definedName>
    <definedName name="wrn.Tycon._.Model." localSheetId="1" hidden="1">{"rtn",#N/A,FALSE,"RTN";"tables",#N/A,FALSE,"RTN";"cf",#N/A,FALSE,"CF";"stats",#N/A,FALSE,"Stats";"prop",#N/A,FALSE,"Prop"}</definedName>
    <definedName name="wrn.Tycon._.Model." localSheetId="0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valuation." localSheetId="1" hidden="1">{"Page1",#N/A,FALSE,"7979";"Page2",#N/A,FALSE,"7979";"Page3",#N/A,FALSE,"7979"}</definedName>
    <definedName name="wrn.valuation." localSheetId="0" hidden="1">{"Page1",#N/A,FALSE,"7979";"Page2",#N/A,FALSE,"7979";"Page3",#N/A,FALSE,"7979"}</definedName>
    <definedName name="wrn.valuation." hidden="1">{"Page1",#N/A,FALSE,"7979";"Page2",#N/A,FALSE,"7979";"Page3",#N/A,FALSE,"7979"}</definedName>
    <definedName name="wrnprintall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 localSheetId="1" hidden="1">{"scen1",#N/A,FALSE,"Scenarios";"scen2",#N/A,FALSE,"Scenarios"}</definedName>
    <definedName name="xfg" localSheetId="0" hidden="1">{"scen1",#N/A,FALSE,"Scenarios";"scen2",#N/A,FALSE,"Scenarios"}</definedName>
    <definedName name="xfg" hidden="1">{"scen1",#N/A,FALSE,"Scenarios";"scen2",#N/A,FALSE,"Scenarios"}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5" l="1"/>
  <c r="K8" i="3"/>
  <c r="N6" i="3"/>
  <c r="O6" i="3" s="1"/>
  <c r="P6" i="3" s="1"/>
  <c r="Q6" i="3" s="1"/>
  <c r="R6" i="3" s="1"/>
  <c r="M6" i="3"/>
  <c r="F18" i="3"/>
  <c r="F19" i="3" s="1"/>
  <c r="G18" i="3"/>
  <c r="G19" i="3" s="1"/>
  <c r="H18" i="3"/>
  <c r="I18" i="3"/>
  <c r="H19" i="3"/>
  <c r="I19" i="3"/>
  <c r="F20" i="3"/>
  <c r="G20" i="3"/>
  <c r="H20" i="3"/>
  <c r="H21" i="3"/>
  <c r="H27" i="3" s="1"/>
  <c r="I21" i="3"/>
  <c r="I27" i="3" s="1"/>
  <c r="F24" i="3"/>
  <c r="G24" i="3"/>
  <c r="H24" i="3"/>
  <c r="I24" i="3"/>
  <c r="F25" i="3"/>
  <c r="G25" i="3"/>
  <c r="H25" i="3"/>
  <c r="I25" i="3"/>
  <c r="F26" i="3"/>
  <c r="G26" i="3"/>
  <c r="H26" i="3"/>
  <c r="I26" i="3"/>
  <c r="E26" i="3"/>
  <c r="E25" i="3"/>
  <c r="E24" i="3"/>
  <c r="E18" i="3"/>
  <c r="E20" i="3" s="1"/>
  <c r="K9" i="3" l="1"/>
  <c r="K10" i="3" s="1"/>
  <c r="K11" i="3" s="1"/>
  <c r="K12" i="3" s="1"/>
  <c r="K13" i="3" s="1"/>
  <c r="I20" i="3"/>
  <c r="E19" i="3"/>
  <c r="G21" i="3"/>
  <c r="F21" i="3"/>
  <c r="E21" i="3"/>
  <c r="E27" i="3" s="1"/>
  <c r="G27" i="3" l="1"/>
  <c r="F27" i="3"/>
  <c r="C15" i="5" l="1"/>
  <c r="K6" i="3" l="1"/>
  <c r="E14" i="3"/>
  <c r="F14" i="3"/>
  <c r="G14" i="3"/>
  <c r="H14" i="3"/>
  <c r="I14" i="3"/>
  <c r="E15" i="3"/>
  <c r="F15" i="3"/>
  <c r="G15" i="3"/>
  <c r="H15" i="3"/>
  <c r="I15" i="3"/>
  <c r="E23" i="3"/>
  <c r="F23" i="3"/>
  <c r="G23" i="3"/>
  <c r="H23" i="3"/>
  <c r="I23" i="3"/>
  <c r="E28" i="3"/>
  <c r="F28" i="3"/>
  <c r="G28" i="3"/>
  <c r="H28" i="3"/>
  <c r="I28" i="3"/>
  <c r="E29" i="3"/>
  <c r="F29" i="3"/>
  <c r="G29" i="3"/>
  <c r="H29" i="3"/>
  <c r="I29" i="3"/>
  <c r="E30" i="3"/>
  <c r="F30" i="3"/>
  <c r="G30" i="3"/>
  <c r="H30" i="3"/>
  <c r="I30" i="3"/>
  <c r="E31" i="3"/>
  <c r="F31" i="3"/>
  <c r="G31" i="3"/>
  <c r="H31" i="3"/>
  <c r="I31" i="3"/>
  <c r="E32" i="3"/>
  <c r="F32" i="3"/>
  <c r="G32" i="3"/>
  <c r="H32" i="3"/>
  <c r="I32" i="3"/>
  <c r="E33" i="3"/>
  <c r="F33" i="3"/>
  <c r="G33" i="3"/>
  <c r="H33" i="3"/>
  <c r="I33" i="3"/>
</calcChain>
</file>

<file path=xl/sharedStrings.xml><?xml version="1.0" encoding="utf-8"?>
<sst xmlns="http://schemas.openxmlformats.org/spreadsheetml/2006/main" count="54" uniqueCount="35">
  <si>
    <t>Property/Name</t>
  </si>
  <si>
    <t>Suburb</t>
  </si>
  <si>
    <t>Midtown</t>
  </si>
  <si>
    <t>Trendy</t>
  </si>
  <si>
    <t>Downtown</t>
  </si>
  <si>
    <t>Ocean</t>
  </si>
  <si>
    <t>Average Unit Size (sq ft)</t>
  </si>
  <si>
    <t>Units (#)</t>
  </si>
  <si>
    <t>Gross Rents ($/fq ft/month)</t>
  </si>
  <si>
    <t>Cap Rate</t>
  </si>
  <si>
    <t xml:space="preserve">    Property Tax</t>
  </si>
  <si>
    <t xml:space="preserve">    Insurance (per unit)</t>
  </si>
  <si>
    <t xml:space="preserve">    R &amp; M - Int (per unit)</t>
  </si>
  <si>
    <t xml:space="preserve">    R &amp; M - Ext</t>
  </si>
  <si>
    <t>Allowance (Vacancy, other)</t>
  </si>
  <si>
    <t>Real Estate Model - Cap Rates and NOI</t>
  </si>
  <si>
    <t>Assumptions</t>
  </si>
  <si>
    <t>Sensitivity Analysis - Property Value ($/sq ft) - Suburb</t>
  </si>
  <si>
    <t>Gross Monthly Rent ($/sq ft)</t>
  </si>
  <si>
    <t>Months per Year</t>
  </si>
  <si>
    <t>NOI &amp; Valuation</t>
  </si>
  <si>
    <t>Property Value</t>
  </si>
  <si>
    <t xml:space="preserve">    $ / SF</t>
  </si>
  <si>
    <t>Cap Rate vs Gross Monthly Rent</t>
  </si>
  <si>
    <t>NOI Calculation</t>
  </si>
  <si>
    <t>Rental Income</t>
  </si>
  <si>
    <t xml:space="preserve">    $ / SF / Month</t>
  </si>
  <si>
    <t xml:space="preserve">    $ / Unit / Month</t>
  </si>
  <si>
    <t>Total Gross Revenue</t>
  </si>
  <si>
    <t>Expenses:</t>
  </si>
  <si>
    <t>Total Expenses</t>
  </si>
  <si>
    <t>TOTAL NOI</t>
  </si>
  <si>
    <t xml:space="preserve">    $ / Sq ft / Month</t>
  </si>
  <si>
    <t>Table of Contents</t>
  </si>
  <si>
    <t>Cap Rate and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</si>
</sst>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&quot;$&quot;#,##0_);[Red]\(&quot;$&quot;#,##0\)"/>
    <numFmt numFmtId="167" formatCode="&quot;$&quot;#,##0.00_);\(&quot;$&quot;#,##0.00\)"/>
    <numFmt numFmtId="168" formatCode="0.0%"/>
    <numFmt numFmtId="169" formatCode="&quot;$&quot;#,##0.00_);[Red]\(&quot;$&quot;#,##0.00\)"/>
    <numFmt numFmtId="170" formatCode="&quot;$&quot;#,##0;[Red]&quot;$&quot;#,##0"/>
    <numFmt numFmtId="171" formatCode="&quot;$&quot;#,##0.00;[Red]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b/>
      <sz val="14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0"/>
      <name val="Arial Narrow"/>
      <family val="2"/>
    </font>
    <font>
      <b/>
      <u/>
      <sz val="11"/>
      <color theme="1"/>
      <name val="Arial Narrow"/>
      <family val="2"/>
    </font>
    <font>
      <sz val="11"/>
      <color indexed="12"/>
      <name val="Arial Narrow"/>
      <family val="2"/>
    </font>
    <font>
      <sz val="11"/>
      <color rgb="FF0000FF"/>
      <name val="Arial Narrow"/>
      <family val="2"/>
    </font>
    <font>
      <b/>
      <i/>
      <sz val="11"/>
      <color theme="1"/>
      <name val="Arial Narrow"/>
      <family val="2"/>
    </font>
    <font>
      <i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22"/>
      <color theme="1"/>
      <name val="Arial Narrow"/>
      <family val="2"/>
    </font>
    <font>
      <u/>
      <sz val="11"/>
      <color rgb="FF00206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54">
    <xf numFmtId="0" fontId="0" fillId="0" borderId="0" xfId="0"/>
    <xf numFmtId="37" fontId="2" fillId="2" borderId="0" xfId="0" applyNumberFormat="1" applyFont="1" applyFill="1" applyAlignment="1">
      <alignment vertical="top"/>
    </xf>
    <xf numFmtId="37" fontId="3" fillId="2" borderId="0" xfId="0" applyNumberFormat="1" applyFont="1" applyFill="1" applyAlignment="1">
      <alignment vertical="top"/>
    </xf>
    <xf numFmtId="0" fontId="5" fillId="0" borderId="0" xfId="2" applyFont="1"/>
    <xf numFmtId="37" fontId="6" fillId="2" borderId="0" xfId="0" applyNumberFormat="1" applyFont="1" applyFill="1" applyAlignment="1">
      <alignment horizontal="left" vertical="top"/>
    </xf>
    <xf numFmtId="165" fontId="5" fillId="0" borderId="0" xfId="3" applyNumberFormat="1" applyFont="1"/>
    <xf numFmtId="0" fontId="7" fillId="0" borderId="0" xfId="0" applyFont="1"/>
    <xf numFmtId="0" fontId="8" fillId="0" borderId="0" xfId="0" applyFont="1"/>
    <xf numFmtId="37" fontId="9" fillId="3" borderId="0" xfId="0" applyNumberFormat="1" applyFont="1" applyFill="1" applyAlignment="1">
      <alignment vertical="center"/>
    </xf>
    <xf numFmtId="37" fontId="6" fillId="3" borderId="0" xfId="0" applyNumberFormat="1" applyFont="1" applyFill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11" fillId="0" borderId="0" xfId="4" applyFont="1"/>
    <xf numFmtId="165" fontId="11" fillId="0" borderId="0" xfId="5" applyNumberFormat="1" applyFont="1"/>
    <xf numFmtId="166" fontId="3" fillId="0" borderId="0" xfId="0" applyNumberFormat="1" applyFont="1"/>
    <xf numFmtId="167" fontId="11" fillId="0" borderId="1" xfId="5" applyNumberFormat="1" applyFont="1" applyBorder="1"/>
    <xf numFmtId="167" fontId="5" fillId="0" borderId="1" xfId="5" applyNumberFormat="1" applyFont="1" applyBorder="1"/>
    <xf numFmtId="168" fontId="11" fillId="0" borderId="2" xfId="1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right"/>
    </xf>
    <xf numFmtId="167" fontId="11" fillId="0" borderId="0" xfId="5" applyNumberFormat="1" applyFont="1"/>
    <xf numFmtId="168" fontId="7" fillId="0" borderId="2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right"/>
    </xf>
    <xf numFmtId="168" fontId="11" fillId="0" borderId="0" xfId="1" applyNumberFormat="1" applyFont="1"/>
    <xf numFmtId="0" fontId="12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166" fontId="8" fillId="0" borderId="6" xfId="0" applyNumberFormat="1" applyFont="1" applyBorder="1" applyAlignment="1">
      <alignment horizontal="right"/>
    </xf>
    <xf numFmtId="0" fontId="13" fillId="0" borderId="7" xfId="0" applyFont="1" applyBorder="1"/>
    <xf numFmtId="0" fontId="8" fillId="0" borderId="8" xfId="0" applyFont="1" applyBorder="1"/>
    <xf numFmtId="0" fontId="13" fillId="0" borderId="8" xfId="0" applyFont="1" applyBorder="1"/>
    <xf numFmtId="166" fontId="13" fillId="0" borderId="8" xfId="0" applyNumberFormat="1" applyFont="1" applyBorder="1" applyAlignment="1">
      <alignment horizontal="right"/>
    </xf>
    <xf numFmtId="0" fontId="14" fillId="0" borderId="0" xfId="0" applyFont="1"/>
    <xf numFmtId="169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0" fontId="8" fillId="0" borderId="1" xfId="0" applyFont="1" applyBorder="1"/>
    <xf numFmtId="0" fontId="7" fillId="0" borderId="1" xfId="0" applyFont="1" applyBorder="1"/>
    <xf numFmtId="166" fontId="8" fillId="0" borderId="1" xfId="0" applyNumberFormat="1" applyFont="1" applyBorder="1" applyAlignment="1">
      <alignment horizontal="right"/>
    </xf>
    <xf numFmtId="10" fontId="11" fillId="0" borderId="0" xfId="4" applyNumberFormat="1" applyFont="1" applyAlignment="1">
      <alignment horizontal="right"/>
    </xf>
    <xf numFmtId="170" fontId="14" fillId="0" borderId="0" xfId="0" applyNumberFormat="1" applyFont="1" applyAlignment="1">
      <alignment horizontal="right"/>
    </xf>
    <xf numFmtId="171" fontId="14" fillId="0" borderId="0" xfId="0" applyNumberFormat="1" applyFont="1" applyAlignment="1">
      <alignment horizontal="right"/>
    </xf>
    <xf numFmtId="164" fontId="7" fillId="0" borderId="0" xfId="5" applyFont="1"/>
    <xf numFmtId="0" fontId="7" fillId="4" borderId="0" xfId="7" applyFont="1" applyFill="1"/>
    <xf numFmtId="0" fontId="3" fillId="4" borderId="0" xfId="7" applyFont="1" applyFill="1"/>
    <xf numFmtId="0" fontId="16" fillId="4" borderId="0" xfId="7" applyFont="1" applyFill="1" applyProtection="1">
      <protection locked="0"/>
    </xf>
    <xf numFmtId="0" fontId="8" fillId="4" borderId="0" xfId="7" applyFont="1" applyFill="1" applyAlignment="1">
      <alignment horizontal="right"/>
    </xf>
    <xf numFmtId="0" fontId="7" fillId="4" borderId="0" xfId="7" applyFont="1" applyFill="1" applyProtection="1">
      <protection locked="0"/>
    </xf>
    <xf numFmtId="0" fontId="8" fillId="4" borderId="0" xfId="7" applyFont="1" applyFill="1" applyProtection="1">
      <protection locked="0"/>
    </xf>
    <xf numFmtId="0" fontId="17" fillId="4" borderId="3" xfId="6" applyFont="1" applyFill="1" applyBorder="1" applyProtection="1">
      <protection locked="0"/>
    </xf>
    <xf numFmtId="0" fontId="17" fillId="4" borderId="0" xfId="6" applyFont="1" applyFill="1" applyProtection="1">
      <protection locked="0"/>
    </xf>
    <xf numFmtId="0" fontId="1" fillId="4" borderId="0" xfId="7" applyFill="1"/>
    <xf numFmtId="0" fontId="19" fillId="4" borderId="0" xfId="8" applyFont="1" applyFill="1"/>
    <xf numFmtId="0" fontId="7" fillId="4" borderId="0" xfId="7" applyFont="1" applyFill="1" applyBorder="1"/>
  </cellXfs>
  <cellStyles count="9">
    <cellStyle name="A3 297 x 420 mm" xfId="2" xr:uid="{BE259A95-8032-4533-9657-E0DC75A40BE5}"/>
    <cellStyle name="A3 297 x 420 mm 2" xfId="4" xr:uid="{27950194-252A-4475-B454-33BC66918991}"/>
    <cellStyle name="Comma 2" xfId="3" xr:uid="{904541E6-0CD8-4803-8F89-378A59AD48A2}"/>
    <cellStyle name="Comma 3" xfId="5" xr:uid="{27C88DF8-D323-475D-AA10-C85CD8A327F1}"/>
    <cellStyle name="Hyperlink" xfId="6" builtinId="8"/>
    <cellStyle name="Hyperlink 2 2" xfId="8" xr:uid="{C0FA374B-F8B0-4DB2-9365-18CB3220CAB6}"/>
    <cellStyle name="Normal" xfId="0" builtinId="0"/>
    <cellStyle name="Normal 2 2" xfId="7" xr:uid="{4D91D3BD-CC32-4082-BE5C-E9EAF88ABED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Property Value/Sq Ft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'Cap Rate &amp; NOI'!$E$8:$I$8</c:f>
              <c:numCache>
                <c:formatCode>"$"#,##0.00_);\("$"#,##0.00\)</c:formatCode>
                <c:ptCount val="5"/>
                <c:pt idx="0">
                  <c:v>3</c:v>
                </c:pt>
                <c:pt idx="1">
                  <c:v>3.75</c:v>
                </c:pt>
                <c:pt idx="2">
                  <c:v>3.9</c:v>
                </c:pt>
                <c:pt idx="3">
                  <c:v>4.7</c:v>
                </c:pt>
                <c:pt idx="4">
                  <c:v>5</c:v>
                </c:pt>
              </c:numCache>
            </c:numRef>
          </c:xVal>
          <c:yVal>
            <c:numRef>
              <c:f>'Cap Rate &amp; NOI'!$E$9:$I$9</c:f>
              <c:numCache>
                <c:formatCode>0.0%</c:formatCode>
                <c:ptCount val="5"/>
                <c:pt idx="0">
                  <c:v>0.05</c:v>
                </c:pt>
                <c:pt idx="1">
                  <c:v>4.7E-2</c:v>
                </c:pt>
                <c:pt idx="2">
                  <c:v>3.5999999999999997E-2</c:v>
                </c:pt>
                <c:pt idx="3">
                  <c:v>3.6499999999999998E-2</c:v>
                </c:pt>
                <c:pt idx="4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8-4597-8AEC-4C2C38FFD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693080"/>
        <c:axId val="509558584"/>
      </c:scatterChart>
      <c:valAx>
        <c:axId val="92369308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Gross Rent per foot</a:t>
                </a:r>
              </a:p>
            </c:rich>
          </c:tx>
          <c:layout>
            <c:manualLayout>
              <c:xMode val="edge"/>
              <c:yMode val="edge"/>
              <c:x val="0.48505096237970252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58584"/>
        <c:crosses val="autoZero"/>
        <c:crossBetween val="midCat"/>
      </c:valAx>
      <c:valAx>
        <c:axId val="509558584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Cap Rate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8080234762321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9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746124</xdr:colOff>
      <xdr:row>16</xdr:row>
      <xdr:rowOff>101600</xdr:rowOff>
    </xdr:from>
    <xdr:to>
      <xdr:col>17</xdr:col>
      <xdr:colOff>774699</xdr:colOff>
      <xdr:row>32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31E40-98B8-4DF1-A285-408D566A6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nynt5\public\WINDOWS\Temporary%20Internet%20Files\OLKB353\office%20space%20beechwo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DS\STAFFING\STAFFPLN\COM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Industry%20Books\Txt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TIVE%20Deals\2nd%20&amp;%20Pine\Financial%20Model\Second%20&amp;%20Pine%20(Starwood%20-%20All%20Resi,%20240'ft)%203-31-05%20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ice Space"/>
      <sheetName val="Model Room"/>
    </sheetNames>
    <sheetDataSet>
      <sheetData sheetId="0" refreshError="1">
        <row r="3">
          <cell r="H3">
            <v>37196</v>
          </cell>
        </row>
        <row r="9">
          <cell r="O9">
            <v>36923</v>
          </cell>
          <cell r="P9">
            <v>36951</v>
          </cell>
          <cell r="Q9">
            <v>36982</v>
          </cell>
          <cell r="R9">
            <v>37012</v>
          </cell>
          <cell r="S9">
            <v>37043</v>
          </cell>
          <cell r="T9">
            <v>36739</v>
          </cell>
          <cell r="U9">
            <v>36770</v>
          </cell>
          <cell r="V9">
            <v>36800</v>
          </cell>
          <cell r="W9">
            <v>36831</v>
          </cell>
          <cell r="X9">
            <v>36861</v>
          </cell>
          <cell r="Y9">
            <v>36892</v>
          </cell>
          <cell r="Z9">
            <v>36923</v>
          </cell>
          <cell r="AA9">
            <v>36951</v>
          </cell>
        </row>
        <row r="33">
          <cell r="O33">
            <v>670</v>
          </cell>
          <cell r="P33">
            <v>670</v>
          </cell>
          <cell r="Q33">
            <v>670</v>
          </cell>
          <cell r="R33">
            <v>750</v>
          </cell>
          <cell r="S33">
            <v>1150</v>
          </cell>
          <cell r="T33">
            <v>0</v>
          </cell>
          <cell r="U33">
            <v>0</v>
          </cell>
          <cell r="V33">
            <v>100</v>
          </cell>
          <cell r="W33">
            <v>510</v>
          </cell>
          <cell r="X33">
            <v>590</v>
          </cell>
          <cell r="Y33">
            <v>670</v>
          </cell>
          <cell r="Z33">
            <v>670</v>
          </cell>
          <cell r="AA33">
            <v>670</v>
          </cell>
        </row>
        <row r="34"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2200</v>
          </cell>
          <cell r="U34">
            <v>2200</v>
          </cell>
          <cell r="V34">
            <v>2200</v>
          </cell>
          <cell r="W34">
            <v>2200</v>
          </cell>
          <cell r="X34">
            <v>2200</v>
          </cell>
          <cell r="Y34">
            <v>2200</v>
          </cell>
          <cell r="Z34">
            <v>2200</v>
          </cell>
          <cell r="AA34">
            <v>2200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 Transaction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 Transaction"/>
      <sheetName val="#REF"/>
      <sheetName val="Txtm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_CF"/>
      <sheetName val="Sheet2"/>
      <sheetName val="Area Stack"/>
      <sheetName val="Pricing Stack"/>
      <sheetName val="CF Budget"/>
      <sheetName val="Hotel Proforma"/>
      <sheetName val="DO NOT PRINT---------------&gt;"/>
      <sheetName val="Condo Summary (Monthly)"/>
      <sheetName val="IRR (Monthly)"/>
      <sheetName val="WATERFALL"/>
      <sheetName val="Sheet1"/>
      <sheetName val="Cash Flow (Starwood)"/>
      <sheetName val="Sensitivities"/>
      <sheetName val="Assumptions"/>
      <sheetName val="Memo Tables"/>
      <sheetName val="Sections (Revised 400ft)"/>
      <sheetName val="Site_Building (Revised 400ft)"/>
      <sheetName val="Absorption Scenarios"/>
      <sheetName val="Hard Costs"/>
      <sheetName val="Condominium"/>
      <sheetName val="---------------&gt;HOTEL Operation"/>
      <sheetName val="Hotel"/>
      <sheetName val="Key Pro Forma Assumptions "/>
      <sheetName val="------&gt;Other Drivers"/>
      <sheetName val="-----&gt;Developer Model"/>
      <sheetName val="Project Management"/>
      <sheetName val="Assumptions from Developer"/>
      <sheetName val="Cash Flow"/>
      <sheetName val="FFE"/>
      <sheetName val="Retail"/>
      <sheetName val="Hard Costs (Revised 400ft)"/>
      <sheetName val="Consultant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AED5-50D3-4549-80EC-9E29A8FEE961}">
  <dimension ref="C1:N46"/>
  <sheetViews>
    <sheetView showGridLines="0" tabSelected="1" zoomScale="90" zoomScaleNormal="90" workbookViewId="0">
      <selection activeCell="F28" sqref="F28"/>
    </sheetView>
  </sheetViews>
  <sheetFormatPr defaultColWidth="9.109375" defaultRowHeight="13.8" x14ac:dyDescent="0.25"/>
  <cols>
    <col min="1" max="2" width="11" style="43" customWidth="1"/>
    <col min="3" max="3" width="33.109375" style="43" customWidth="1"/>
    <col min="4" max="22" width="11" style="43" customWidth="1"/>
    <col min="23" max="25" width="9.109375" style="43"/>
    <col min="26" max="26" width="9.109375" style="43" customWidth="1"/>
    <col min="27" max="16384" width="9.109375" style="43"/>
  </cols>
  <sheetData>
    <row r="1" spans="3:14" ht="19.5" customHeight="1" x14ac:dyDescent="0.25"/>
    <row r="2" spans="3:14" ht="19.5" customHeight="1" x14ac:dyDescent="0.25"/>
    <row r="3" spans="3:14" ht="19.5" customHeight="1" x14ac:dyDescent="0.25"/>
    <row r="4" spans="3:14" ht="19.5" customHeight="1" x14ac:dyDescent="0.25"/>
    <row r="5" spans="3:14" ht="19.5" customHeight="1" x14ac:dyDescent="0.25"/>
    <row r="6" spans="3:14" ht="19.5" customHeight="1" x14ac:dyDescent="0.25"/>
    <row r="7" spans="3:14" ht="19.5" customHeight="1" x14ac:dyDescent="0.25"/>
    <row r="8" spans="3:14" ht="19.5" customHeight="1" x14ac:dyDescent="0.25"/>
    <row r="9" spans="3:14" ht="19.5" customHeight="1" x14ac:dyDescent="0.25"/>
    <row r="10" spans="3:14" ht="19.5" customHeight="1" x14ac:dyDescent="0.25"/>
    <row r="11" spans="3:14" ht="19.5" customHeight="1" x14ac:dyDescent="0.25"/>
    <row r="12" spans="3:14" ht="28.2" x14ac:dyDescent="0.5">
      <c r="C12" s="45" t="s">
        <v>34</v>
      </c>
      <c r="N12" s="46"/>
    </row>
    <row r="13" spans="3:14" ht="19.5" customHeight="1" x14ac:dyDescent="0.25">
      <c r="C13" s="47"/>
    </row>
    <row r="14" spans="3:14" ht="19.5" customHeight="1" x14ac:dyDescent="0.25">
      <c r="C14" s="48" t="s">
        <v>33</v>
      </c>
    </row>
    <row r="15" spans="3:14" ht="19.5" customHeight="1" x14ac:dyDescent="0.3">
      <c r="C15" s="49" t="str">
        <f ca="1">RIGHT(CELL("filename",'Cap Rate &amp; NOI'!A1),LEN(CELL("filename",'Cap Rate &amp; NOI'!A1))-FIND("]",CELL("filename",'Cap Rate &amp; NOI'!A1)))</f>
        <v>Cap Rate &amp; NOI</v>
      </c>
    </row>
    <row r="16" spans="3:14" ht="19.5" customHeight="1" x14ac:dyDescent="0.3">
      <c r="C16" s="50" t="str">
        <f ca="1">RIGHT(CELL("filename",'raw data'!A1),LEN(CELL("filename",'raw data'!A1))-FIND("]",CELL("filename",'raw data'!A1)))</f>
        <v>raw data</v>
      </c>
    </row>
    <row r="17" spans="3:14" ht="19.5" customHeight="1" x14ac:dyDescent="0.3">
      <c r="C17" s="51"/>
    </row>
    <row r="18" spans="3:14" ht="19.5" customHeight="1" x14ac:dyDescent="0.25"/>
    <row r="19" spans="3:14" ht="19.5" customHeight="1" x14ac:dyDescent="0.25"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</row>
    <row r="20" spans="3:14" ht="19.5" customHeight="1" x14ac:dyDescent="0.25"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 spans="3:14" ht="19.5" customHeight="1" x14ac:dyDescent="0.25"/>
    <row r="22" spans="3:14" ht="19.5" customHeight="1" x14ac:dyDescent="0.25">
      <c r="C22" s="52"/>
    </row>
    <row r="23" spans="3:14" ht="19.5" customHeight="1" x14ac:dyDescent="0.25">
      <c r="C23" s="52"/>
    </row>
    <row r="24" spans="3:14" ht="19.5" customHeight="1" x14ac:dyDescent="0.25">
      <c r="C24" s="44"/>
    </row>
    <row r="25" spans="3:14" ht="19.5" customHeight="1" x14ac:dyDescent="0.25"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3:14" ht="19.5" customHeight="1" x14ac:dyDescent="0.25"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3:14" ht="19.5" customHeight="1" x14ac:dyDescent="0.25"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3:14" ht="19.5" customHeight="1" x14ac:dyDescent="0.25"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3:14" ht="19.5" customHeight="1" x14ac:dyDescent="0.25"/>
    <row r="30" spans="3:14" ht="19.5" customHeight="1" x14ac:dyDescent="0.25"/>
    <row r="31" spans="3:14" ht="19.5" customHeight="1" x14ac:dyDescent="0.25"/>
    <row r="32" spans="3:14" ht="19.5" customHeight="1" x14ac:dyDescent="0.25"/>
    <row r="33" s="43" customFormat="1" ht="19.5" customHeight="1" x14ac:dyDescent="0.25"/>
    <row r="34" s="43" customFormat="1" ht="19.5" customHeight="1" x14ac:dyDescent="0.25"/>
    <row r="35" s="43" customFormat="1" ht="19.5" customHeight="1" x14ac:dyDescent="0.25"/>
    <row r="36" s="43" customFormat="1" ht="19.5" customHeight="1" x14ac:dyDescent="0.25"/>
    <row r="37" s="43" customFormat="1" ht="19.5" customHeight="1" x14ac:dyDescent="0.25"/>
    <row r="38" s="43" customFormat="1" ht="19.5" customHeight="1" x14ac:dyDescent="0.25"/>
    <row r="39" s="43" customFormat="1" ht="19.5" customHeight="1" x14ac:dyDescent="0.25"/>
    <row r="40" s="43" customFormat="1" ht="19.5" customHeight="1" x14ac:dyDescent="0.25"/>
    <row r="41" s="43" customFormat="1" ht="19.5" customHeight="1" x14ac:dyDescent="0.25"/>
    <row r="42" s="43" customFormat="1" ht="19.5" customHeight="1" x14ac:dyDescent="0.25"/>
    <row r="43" s="43" customFormat="1" ht="19.5" customHeight="1" x14ac:dyDescent="0.25"/>
    <row r="44" s="43" customFormat="1" ht="19.5" customHeight="1" x14ac:dyDescent="0.25"/>
    <row r="45" s="43" customFormat="1" ht="19.5" customHeight="1" x14ac:dyDescent="0.25"/>
    <row r="46" s="43" customFormat="1" ht="19.5" customHeight="1" x14ac:dyDescent="0.25"/>
  </sheetData>
  <hyperlinks>
    <hyperlink ref="C16" location="'raw data'!A1" display="'raw data'!A1" xr:uid="{063B65D8-ECD1-4675-A29A-AB8FAD79548D}"/>
  </hyperlinks>
  <pageMargins left="0.7" right="0.7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313B-0598-4B24-8700-55F2C875AE37}">
  <sheetPr>
    <pageSetUpPr fitToPage="1"/>
  </sheetPr>
  <dimension ref="A1:AN34"/>
  <sheetViews>
    <sheetView showGridLines="0" zoomScaleNormal="100" zoomScaleSheetLayoutView="85" workbookViewId="0">
      <selection activeCell="K41" sqref="K41"/>
    </sheetView>
  </sheetViews>
  <sheetFormatPr defaultColWidth="9.109375" defaultRowHeight="13.8" x14ac:dyDescent="0.25"/>
  <cols>
    <col min="1" max="1" width="3" style="6" customWidth="1"/>
    <col min="2" max="19" width="11.109375" style="6" customWidth="1"/>
    <col min="20" max="16384" width="9.109375" style="6"/>
  </cols>
  <sheetData>
    <row r="1" spans="1:40" s="3" customFormat="1" ht="17.2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40" s="3" customFormat="1" ht="22.5" customHeight="1" x14ac:dyDescent="0.25">
      <c r="A2" s="4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B3" s="7"/>
    </row>
    <row r="4" spans="1:40" ht="18" x14ac:dyDescent="0.25">
      <c r="B4" s="8" t="s">
        <v>16</v>
      </c>
      <c r="C4" s="9"/>
      <c r="D4" s="8"/>
      <c r="E4" s="9"/>
      <c r="F4" s="8"/>
      <c r="G4" s="9"/>
      <c r="H4" s="8"/>
      <c r="I4" s="9"/>
      <c r="K4" s="8" t="s">
        <v>17</v>
      </c>
      <c r="L4" s="9"/>
      <c r="M4" s="8"/>
      <c r="N4" s="9"/>
      <c r="O4" s="8"/>
      <c r="P4" s="9"/>
      <c r="Q4" s="8"/>
      <c r="R4" s="9"/>
    </row>
    <row r="5" spans="1:40" x14ac:dyDescent="0.25">
      <c r="B5" s="7" t="s">
        <v>0</v>
      </c>
      <c r="C5" s="7"/>
      <c r="D5" s="7"/>
      <c r="E5" s="10" t="s">
        <v>1</v>
      </c>
      <c r="F5" s="10" t="s">
        <v>2</v>
      </c>
      <c r="G5" s="10" t="s">
        <v>3</v>
      </c>
      <c r="H5" s="10" t="s">
        <v>4</v>
      </c>
      <c r="I5" s="10" t="s">
        <v>5</v>
      </c>
      <c r="K5" s="7" t="s">
        <v>9</v>
      </c>
      <c r="L5" s="11" t="s">
        <v>18</v>
      </c>
      <c r="M5" s="12"/>
      <c r="N5" s="12"/>
      <c r="O5" s="12"/>
      <c r="P5" s="12"/>
      <c r="Q5" s="12"/>
      <c r="R5" s="12"/>
    </row>
    <row r="6" spans="1:40" x14ac:dyDescent="0.25">
      <c r="A6" s="13"/>
      <c r="B6" s="6" t="s">
        <v>6</v>
      </c>
      <c r="C6" s="14"/>
      <c r="E6" s="15">
        <v>1500</v>
      </c>
      <c r="F6" s="15">
        <v>1500</v>
      </c>
      <c r="G6" s="15">
        <v>1500</v>
      </c>
      <c r="H6" s="15">
        <v>1500</v>
      </c>
      <c r="I6" s="15">
        <v>1500</v>
      </c>
      <c r="K6" s="16">
        <f ca="1">E15</f>
        <v>545.5737704918032</v>
      </c>
      <c r="L6" s="17">
        <v>2.5</v>
      </c>
      <c r="M6" s="18">
        <f>L6+0.25</f>
        <v>2.75</v>
      </c>
      <c r="N6" s="18">
        <f t="shared" ref="N6:R6" si="0">M6+0.25</f>
        <v>3</v>
      </c>
      <c r="O6" s="18">
        <f t="shared" si="0"/>
        <v>3.25</v>
      </c>
      <c r="P6" s="18">
        <f t="shared" si="0"/>
        <v>3.5</v>
      </c>
      <c r="Q6" s="18">
        <f t="shared" si="0"/>
        <v>3.75</v>
      </c>
      <c r="R6" s="18">
        <f t="shared" si="0"/>
        <v>4</v>
      </c>
    </row>
    <row r="7" spans="1:40" x14ac:dyDescent="0.25">
      <c r="B7" s="6" t="s">
        <v>7</v>
      </c>
      <c r="E7" s="15">
        <v>5</v>
      </c>
      <c r="F7" s="15">
        <v>5</v>
      </c>
      <c r="G7" s="15">
        <v>5</v>
      </c>
      <c r="H7" s="15">
        <v>5</v>
      </c>
      <c r="I7" s="15">
        <v>5</v>
      </c>
      <c r="K7" s="19">
        <v>0.05</v>
      </c>
      <c r="L7" s="20">
        <f t="dataTable" ref="L7:R13" dt2D="1" dtr="1" r1="E8" r2="E9" ca="1"/>
        <v>449.18032792882667</v>
      </c>
      <c r="M7" s="20">
        <v>497.37704915034072</v>
      </c>
      <c r="N7" s="20">
        <v>545.57377046181614</v>
      </c>
      <c r="O7" s="20">
        <v>593.7704917732915</v>
      </c>
      <c r="P7" s="20">
        <v>641.96721308476685</v>
      </c>
      <c r="Q7" s="20">
        <v>690.16393439624233</v>
      </c>
      <c r="R7" s="20">
        <v>738.3606557077178</v>
      </c>
    </row>
    <row r="8" spans="1:40" x14ac:dyDescent="0.25">
      <c r="B8" s="6" t="s">
        <v>8</v>
      </c>
      <c r="E8" s="21">
        <v>3</v>
      </c>
      <c r="F8" s="21">
        <v>3.75</v>
      </c>
      <c r="G8" s="21">
        <v>3.9</v>
      </c>
      <c r="H8" s="21">
        <v>4.7</v>
      </c>
      <c r="I8" s="21">
        <v>5</v>
      </c>
      <c r="K8" s="22">
        <f>K7-0.005</f>
        <v>4.5000000000000005E-2</v>
      </c>
      <c r="L8" s="23">
        <v>489.28571433952413</v>
      </c>
      <c r="M8" s="23">
        <v>541.7857143206171</v>
      </c>
      <c r="N8" s="23">
        <v>594.28571432061722</v>
      </c>
      <c r="O8" s="23">
        <v>646.78571432061722</v>
      </c>
      <c r="P8" s="23">
        <v>699.28571432061722</v>
      </c>
      <c r="Q8" s="23">
        <v>751.78571432061722</v>
      </c>
      <c r="R8" s="23">
        <v>804.28571432061722</v>
      </c>
    </row>
    <row r="9" spans="1:40" x14ac:dyDescent="0.25">
      <c r="B9" s="6" t="s">
        <v>9</v>
      </c>
      <c r="E9" s="24">
        <v>0.05</v>
      </c>
      <c r="F9" s="24">
        <v>4.7E-2</v>
      </c>
      <c r="G9" s="24">
        <v>3.5999999999999997E-2</v>
      </c>
      <c r="H9" s="24">
        <v>3.6499999999999998E-2</v>
      </c>
      <c r="I9" s="24">
        <v>0.03</v>
      </c>
      <c r="J9" s="24"/>
      <c r="K9" s="22">
        <f t="shared" ref="K9:K13" si="1">K8-0.005</f>
        <v>4.0000000000000008E-2</v>
      </c>
      <c r="L9" s="23">
        <v>537.25490199052308</v>
      </c>
      <c r="M9" s="23">
        <v>594.90196072263984</v>
      </c>
      <c r="N9" s="23">
        <v>652.54901954616923</v>
      </c>
      <c r="O9" s="23">
        <v>710.19607836969874</v>
      </c>
      <c r="P9" s="23">
        <v>767.84313719322813</v>
      </c>
      <c r="Q9" s="23">
        <v>825.49019601675752</v>
      </c>
      <c r="R9" s="23">
        <v>883.13725484028691</v>
      </c>
    </row>
    <row r="10" spans="1:40" x14ac:dyDescent="0.25">
      <c r="B10" s="6" t="s">
        <v>19</v>
      </c>
      <c r="D10" s="25">
        <v>12</v>
      </c>
      <c r="K10" s="22">
        <f t="shared" si="1"/>
        <v>3.500000000000001E-2</v>
      </c>
      <c r="L10" s="23">
        <v>595.65217394961326</v>
      </c>
      <c r="M10" s="23">
        <v>659.56521733409932</v>
      </c>
      <c r="N10" s="23">
        <v>723.47826081236019</v>
      </c>
      <c r="O10" s="23">
        <v>787.39130429062095</v>
      </c>
      <c r="P10" s="23">
        <v>851.30434776888194</v>
      </c>
      <c r="Q10" s="23">
        <v>915.21739124714281</v>
      </c>
      <c r="R10" s="23">
        <v>979.13043472540357</v>
      </c>
    </row>
    <row r="11" spans="1:40" x14ac:dyDescent="0.25">
      <c r="K11" s="22">
        <f t="shared" si="1"/>
        <v>3.0000000000000009E-2</v>
      </c>
      <c r="L11" s="23">
        <v>668.29268288174273</v>
      </c>
      <c r="M11" s="23">
        <v>740.00000005072957</v>
      </c>
      <c r="N11" s="23">
        <v>811.70731712390057</v>
      </c>
      <c r="O11" s="23">
        <v>883.41463419707122</v>
      </c>
      <c r="P11" s="23">
        <v>955.12195127024165</v>
      </c>
      <c r="Q11" s="23">
        <v>1026.8292683434127</v>
      </c>
      <c r="R11" s="23">
        <v>1098.5365854165834</v>
      </c>
    </row>
    <row r="12" spans="1:40" ht="18" x14ac:dyDescent="0.25">
      <c r="B12" s="8" t="s">
        <v>20</v>
      </c>
      <c r="C12" s="9"/>
      <c r="D12" s="8"/>
      <c r="E12" s="9"/>
      <c r="F12" s="8"/>
      <c r="G12" s="9"/>
      <c r="H12" s="8"/>
      <c r="I12" s="9"/>
      <c r="K12" s="22">
        <f t="shared" si="1"/>
        <v>2.5000000000000008E-2</v>
      </c>
      <c r="L12" s="23">
        <v>761.11111116900486</v>
      </c>
      <c r="M12" s="23">
        <v>842.77777773394314</v>
      </c>
      <c r="N12" s="23">
        <v>924.44444440061</v>
      </c>
      <c r="O12" s="23">
        <v>1006.1111110672766</v>
      </c>
      <c r="P12" s="23">
        <v>1087.7777777339431</v>
      </c>
      <c r="Q12" s="23">
        <v>1169.4444444006099</v>
      </c>
      <c r="R12" s="23">
        <v>1251.1111110672764</v>
      </c>
    </row>
    <row r="13" spans="1:40" x14ac:dyDescent="0.25">
      <c r="K13" s="22">
        <f t="shared" si="1"/>
        <v>2.0000000000000007E-2</v>
      </c>
      <c r="L13" s="23">
        <v>883.87096769104141</v>
      </c>
      <c r="M13" s="23">
        <v>978.70967749692227</v>
      </c>
      <c r="N13" s="23">
        <v>1073.5483871743413</v>
      </c>
      <c r="O13" s="23">
        <v>1168.3870968517608</v>
      </c>
      <c r="P13" s="23">
        <v>1263.2258065291801</v>
      </c>
      <c r="Q13" s="23">
        <v>1358.0645162065994</v>
      </c>
      <c r="R13" s="23">
        <v>1452.9032258840184</v>
      </c>
    </row>
    <row r="14" spans="1:40" x14ac:dyDescent="0.25">
      <c r="B14" s="26" t="s">
        <v>21</v>
      </c>
      <c r="C14" s="27"/>
      <c r="D14" s="27"/>
      <c r="E14" s="28">
        <f ca="1">E31/E9</f>
        <v>4091803.2786885244</v>
      </c>
      <c r="F14" s="28">
        <f t="shared" ref="F14:I14" ca="1" si="2">F31/F9</f>
        <v>5443965.5172413792</v>
      </c>
      <c r="G14" s="28">
        <f t="shared" ca="1" si="2"/>
        <v>6999574.4680851065</v>
      </c>
      <c r="H14" s="28">
        <f t="shared" ca="1" si="2"/>
        <v>8411368.421052631</v>
      </c>
      <c r="I14" s="28">
        <f t="shared" ca="1" si="2"/>
        <v>10390243.902439024</v>
      </c>
    </row>
    <row r="15" spans="1:40" x14ac:dyDescent="0.25">
      <c r="B15" s="29" t="s">
        <v>22</v>
      </c>
      <c r="C15" s="30"/>
      <c r="D15" s="31"/>
      <c r="E15" s="32">
        <f ca="1">E14/E6/E7</f>
        <v>545.5737704918032</v>
      </c>
      <c r="F15" s="32">
        <f t="shared" ref="F15:I15" ca="1" si="3">F14/F6/F7</f>
        <v>725.86206896551721</v>
      </c>
      <c r="G15" s="32">
        <f t="shared" ca="1" si="3"/>
        <v>933.27659574468089</v>
      </c>
      <c r="H15" s="32">
        <f t="shared" ca="1" si="3"/>
        <v>1121.5157894736842</v>
      </c>
      <c r="I15" s="32">
        <f t="shared" ca="1" si="3"/>
        <v>1385.3658536585367</v>
      </c>
    </row>
    <row r="16" spans="1:40" ht="18" x14ac:dyDescent="0.25">
      <c r="K16" s="8" t="s">
        <v>23</v>
      </c>
      <c r="L16" s="9"/>
      <c r="M16" s="8"/>
      <c r="N16" s="9"/>
      <c r="O16" s="8"/>
      <c r="P16" s="9"/>
      <c r="Q16" s="8"/>
      <c r="R16" s="9"/>
    </row>
    <row r="17" spans="2:11" x14ac:dyDescent="0.25">
      <c r="B17" s="7" t="s">
        <v>24</v>
      </c>
    </row>
    <row r="18" spans="2:11" x14ac:dyDescent="0.25">
      <c r="B18" s="6" t="s">
        <v>25</v>
      </c>
      <c r="E18" s="23">
        <f>E6*E7*E8*$D$10</f>
        <v>270000</v>
      </c>
      <c r="F18" s="23">
        <f t="shared" ref="F18:I18" si="4">F6*F7*F8*$D$10</f>
        <v>337500</v>
      </c>
      <c r="G18" s="23">
        <f t="shared" si="4"/>
        <v>351000</v>
      </c>
      <c r="H18" s="23">
        <f t="shared" si="4"/>
        <v>423000</v>
      </c>
      <c r="I18" s="23">
        <f t="shared" si="4"/>
        <v>450000</v>
      </c>
    </row>
    <row r="19" spans="2:11" x14ac:dyDescent="0.25">
      <c r="B19" s="33" t="s">
        <v>26</v>
      </c>
      <c r="D19" s="33"/>
      <c r="E19" s="34">
        <f>E18/E6/E7/$D$10</f>
        <v>3</v>
      </c>
      <c r="F19" s="34">
        <f t="shared" ref="F19:I19" si="5">F18/F6/F7/$D$10</f>
        <v>3.75</v>
      </c>
      <c r="G19" s="34">
        <f t="shared" si="5"/>
        <v>3.9</v>
      </c>
      <c r="H19" s="34">
        <f t="shared" si="5"/>
        <v>4.7</v>
      </c>
      <c r="I19" s="34">
        <f t="shared" si="5"/>
        <v>5</v>
      </c>
    </row>
    <row r="20" spans="2:11" x14ac:dyDescent="0.25">
      <c r="B20" s="33" t="s">
        <v>27</v>
      </c>
      <c r="E20" s="35">
        <f>E18/E7/$D$10</f>
        <v>4500</v>
      </c>
      <c r="F20" s="35">
        <f t="shared" ref="F20:I20" si="6">F18/F7/$D$10</f>
        <v>5625</v>
      </c>
      <c r="G20" s="35">
        <f t="shared" si="6"/>
        <v>5850</v>
      </c>
      <c r="H20" s="35">
        <f t="shared" si="6"/>
        <v>7050</v>
      </c>
      <c r="I20" s="35">
        <f t="shared" si="6"/>
        <v>7500</v>
      </c>
    </row>
    <row r="21" spans="2:11" x14ac:dyDescent="0.25">
      <c r="B21" s="36" t="s">
        <v>28</v>
      </c>
      <c r="C21" s="37"/>
      <c r="D21" s="37"/>
      <c r="E21" s="38">
        <f>E18</f>
        <v>270000</v>
      </c>
      <c r="F21" s="38">
        <f t="shared" ref="F21:I21" si="7">F18</f>
        <v>337500</v>
      </c>
      <c r="G21" s="38">
        <f t="shared" si="7"/>
        <v>351000</v>
      </c>
      <c r="H21" s="38">
        <f t="shared" si="7"/>
        <v>423000</v>
      </c>
      <c r="I21" s="38">
        <f t="shared" si="7"/>
        <v>450000</v>
      </c>
    </row>
    <row r="22" spans="2:11" x14ac:dyDescent="0.25">
      <c r="B22" s="7" t="s">
        <v>29</v>
      </c>
      <c r="C22" s="33"/>
      <c r="E22" s="35"/>
      <c r="F22" s="35"/>
      <c r="G22" s="35"/>
      <c r="H22" s="35"/>
      <c r="I22" s="35"/>
    </row>
    <row r="23" spans="2:11" x14ac:dyDescent="0.25">
      <c r="B23" s="6" t="s">
        <v>10</v>
      </c>
      <c r="C23" s="33"/>
      <c r="D23" s="39">
        <v>1.0999999999999999E-2</v>
      </c>
      <c r="E23" s="23">
        <f ca="1">$D$23*E14</f>
        <v>45009.836065573763</v>
      </c>
      <c r="F23" s="23">
        <f t="shared" ref="F23:I23" ca="1" si="8">$D$23*F14</f>
        <v>59883.620689655167</v>
      </c>
      <c r="G23" s="23">
        <f t="shared" ca="1" si="8"/>
        <v>76995.319148936163</v>
      </c>
      <c r="H23" s="23">
        <f t="shared" ca="1" si="8"/>
        <v>92525.052631578932</v>
      </c>
      <c r="I23" s="23">
        <f t="shared" ca="1" si="8"/>
        <v>114292.68292682926</v>
      </c>
    </row>
    <row r="24" spans="2:11" x14ac:dyDescent="0.25">
      <c r="B24" s="6" t="s">
        <v>11</v>
      </c>
      <c r="C24" s="33"/>
      <c r="D24" s="21">
        <v>1000</v>
      </c>
      <c r="E24" s="23">
        <f>$D$24*E7</f>
        <v>5000</v>
      </c>
      <c r="F24" s="23">
        <f t="shared" ref="F24:I24" si="9">$D$24*F7</f>
        <v>5000</v>
      </c>
      <c r="G24" s="23">
        <f t="shared" si="9"/>
        <v>5000</v>
      </c>
      <c r="H24" s="23">
        <f t="shared" si="9"/>
        <v>5000</v>
      </c>
      <c r="I24" s="23">
        <f t="shared" si="9"/>
        <v>5000</v>
      </c>
    </row>
    <row r="25" spans="2:11" x14ac:dyDescent="0.25">
      <c r="B25" s="6" t="s">
        <v>12</v>
      </c>
      <c r="C25" s="33"/>
      <c r="D25" s="21">
        <v>500</v>
      </c>
      <c r="E25" s="23">
        <f>$D$25*E7</f>
        <v>2500</v>
      </c>
      <c r="F25" s="23">
        <f t="shared" ref="F25:I25" si="10">$D$25*F7</f>
        <v>2500</v>
      </c>
      <c r="G25" s="23">
        <f t="shared" si="10"/>
        <v>2500</v>
      </c>
      <c r="H25" s="23">
        <f t="shared" si="10"/>
        <v>2500</v>
      </c>
      <c r="I25" s="23">
        <f t="shared" si="10"/>
        <v>2500</v>
      </c>
    </row>
    <row r="26" spans="2:11" x14ac:dyDescent="0.25">
      <c r="B26" s="6" t="s">
        <v>13</v>
      </c>
      <c r="C26" s="33"/>
      <c r="D26" s="21">
        <v>7500</v>
      </c>
      <c r="E26" s="23">
        <f>$D$26</f>
        <v>7500</v>
      </c>
      <c r="F26" s="23">
        <f t="shared" ref="F26:I26" si="11">$D$26</f>
        <v>7500</v>
      </c>
      <c r="G26" s="23">
        <f t="shared" si="11"/>
        <v>7500</v>
      </c>
      <c r="H26" s="23">
        <f t="shared" si="11"/>
        <v>7500</v>
      </c>
      <c r="I26" s="23">
        <f t="shared" si="11"/>
        <v>7500</v>
      </c>
    </row>
    <row r="27" spans="2:11" x14ac:dyDescent="0.25">
      <c r="B27" s="6" t="s">
        <v>14</v>
      </c>
      <c r="C27" s="33"/>
      <c r="D27" s="39">
        <v>0.02</v>
      </c>
      <c r="E27" s="23">
        <f>$D$27*E21</f>
        <v>5400</v>
      </c>
      <c r="F27" s="23">
        <f t="shared" ref="F27:I27" si="12">$D$27*F21</f>
        <v>6750</v>
      </c>
      <c r="G27" s="23">
        <f t="shared" si="12"/>
        <v>7020</v>
      </c>
      <c r="H27" s="23">
        <f t="shared" si="12"/>
        <v>8460</v>
      </c>
      <c r="I27" s="23">
        <f t="shared" si="12"/>
        <v>9000</v>
      </c>
      <c r="K27" s="35"/>
    </row>
    <row r="28" spans="2:11" x14ac:dyDescent="0.25">
      <c r="B28" s="36" t="s">
        <v>30</v>
      </c>
      <c r="C28" s="37"/>
      <c r="D28" s="37"/>
      <c r="E28" s="38">
        <f ca="1">SUM(E23:E27)</f>
        <v>65409.836065573763</v>
      </c>
      <c r="F28" s="38">
        <f t="shared" ref="F28:I28" ca="1" si="13">SUM(F23:F27)</f>
        <v>81633.620689655159</v>
      </c>
      <c r="G28" s="38">
        <f t="shared" ca="1" si="13"/>
        <v>99015.319148936163</v>
      </c>
      <c r="H28" s="38">
        <f t="shared" ca="1" si="13"/>
        <v>115985.05263157893</v>
      </c>
      <c r="I28" s="38">
        <f t="shared" ca="1" si="13"/>
        <v>138292.68292682926</v>
      </c>
      <c r="K28" s="35"/>
    </row>
    <row r="29" spans="2:11" x14ac:dyDescent="0.25">
      <c r="B29" s="33" t="s">
        <v>26</v>
      </c>
      <c r="E29" s="34">
        <f ca="1">E28/$D$10/E6/E7</f>
        <v>0.72677595628415292</v>
      </c>
      <c r="F29" s="34">
        <f t="shared" ref="F29:I29" ca="1" si="14">F28/$D$10/F6/F7</f>
        <v>0.90704022988505739</v>
      </c>
      <c r="G29" s="34">
        <f t="shared" ca="1" si="14"/>
        <v>1.1001702127659576</v>
      </c>
      <c r="H29" s="34">
        <f t="shared" ca="1" si="14"/>
        <v>1.2887228070175438</v>
      </c>
      <c r="I29" s="34">
        <f t="shared" ca="1" si="14"/>
        <v>1.5365853658536586</v>
      </c>
    </row>
    <row r="30" spans="2:11" x14ac:dyDescent="0.25">
      <c r="B30" s="33" t="s">
        <v>27</v>
      </c>
      <c r="C30" s="33"/>
      <c r="E30" s="40">
        <f ca="1">E28/$D$10/E7</f>
        <v>1090.1639344262294</v>
      </c>
      <c r="F30" s="40">
        <f t="shared" ref="F30:I30" ca="1" si="15">F28/$D$10/F7</f>
        <v>1360.5603448275861</v>
      </c>
      <c r="G30" s="40">
        <f t="shared" ca="1" si="15"/>
        <v>1650.2553191489362</v>
      </c>
      <c r="H30" s="40">
        <f t="shared" ca="1" si="15"/>
        <v>1933.0842105263157</v>
      </c>
      <c r="I30" s="40">
        <f t="shared" ca="1" si="15"/>
        <v>2304.8780487804879</v>
      </c>
    </row>
    <row r="31" spans="2:11" x14ac:dyDescent="0.25">
      <c r="B31" s="36" t="s">
        <v>31</v>
      </c>
      <c r="C31" s="37"/>
      <c r="D31" s="37"/>
      <c r="E31" s="38">
        <f ca="1">E21-E28</f>
        <v>204590.16393442624</v>
      </c>
      <c r="F31" s="38">
        <f t="shared" ref="F31:I31" ca="1" si="16">F21-F28</f>
        <v>255866.37931034484</v>
      </c>
      <c r="G31" s="38">
        <f t="shared" ca="1" si="16"/>
        <v>251984.68085106384</v>
      </c>
      <c r="H31" s="38">
        <f t="shared" ca="1" si="16"/>
        <v>307014.94736842107</v>
      </c>
      <c r="I31" s="38">
        <f t="shared" ca="1" si="16"/>
        <v>311707.31707317074</v>
      </c>
    </row>
    <row r="32" spans="2:11" x14ac:dyDescent="0.25">
      <c r="B32" s="33" t="s">
        <v>32</v>
      </c>
      <c r="E32" s="41">
        <f ca="1">E31/$D$10/E6/E7</f>
        <v>2.2732240437158469</v>
      </c>
      <c r="F32" s="41">
        <f t="shared" ref="F32:I32" ca="1" si="17">F31/$D$10/F6/F7</f>
        <v>2.8429597701149425</v>
      </c>
      <c r="G32" s="41">
        <f t="shared" ca="1" si="17"/>
        <v>2.7998297872340427</v>
      </c>
      <c r="H32" s="41">
        <f t="shared" ca="1" si="17"/>
        <v>3.4112771929824568</v>
      </c>
      <c r="I32" s="41">
        <f t="shared" ca="1" si="17"/>
        <v>3.4634146341463414</v>
      </c>
    </row>
    <row r="33" spans="2:9" x14ac:dyDescent="0.25">
      <c r="B33" s="33" t="s">
        <v>27</v>
      </c>
      <c r="C33" s="33"/>
      <c r="E33" s="40">
        <f ca="1">E31/$D$10/E7</f>
        <v>3409.8360655737706</v>
      </c>
      <c r="F33" s="40">
        <f t="shared" ref="F33:I33" ca="1" si="18">F31/$D$10/F7</f>
        <v>4264.4396551724139</v>
      </c>
      <c r="G33" s="40">
        <f t="shared" ca="1" si="18"/>
        <v>4199.744680851064</v>
      </c>
      <c r="H33" s="40">
        <f t="shared" ca="1" si="18"/>
        <v>5116.9157894736845</v>
      </c>
      <c r="I33" s="40">
        <f t="shared" ca="1" si="18"/>
        <v>5195.1219512195121</v>
      </c>
    </row>
    <row r="34" spans="2:9" x14ac:dyDescent="0.25">
      <c r="E34" s="42"/>
      <c r="F34" s="42"/>
      <c r="G34" s="42"/>
      <c r="H34" s="42"/>
      <c r="I34" s="42"/>
    </row>
  </sheetData>
  <pageMargins left="0.2" right="0.2" top="0.75" bottom="0.75" header="0.3" footer="0.3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F205-D11C-4B8E-B5DB-99361A9AC3EB}">
  <dimension ref="B3:I16"/>
  <sheetViews>
    <sheetView workbookViewId="0"/>
  </sheetViews>
  <sheetFormatPr defaultRowHeight="14.4" x14ac:dyDescent="0.3"/>
  <cols>
    <col min="2" max="2" width="26" bestFit="1" customWidth="1"/>
  </cols>
  <sheetData>
    <row r="3" spans="2:9" x14ac:dyDescent="0.3">
      <c r="B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</row>
    <row r="4" spans="2:9" x14ac:dyDescent="0.3">
      <c r="B4" t="s">
        <v>6</v>
      </c>
      <c r="E4">
        <v>1500</v>
      </c>
      <c r="F4">
        <v>1500</v>
      </c>
      <c r="G4">
        <v>1500</v>
      </c>
      <c r="H4">
        <v>1500</v>
      </c>
      <c r="I4">
        <v>1500</v>
      </c>
    </row>
    <row r="5" spans="2:9" x14ac:dyDescent="0.3">
      <c r="B5" t="s">
        <v>7</v>
      </c>
      <c r="E5">
        <v>5</v>
      </c>
      <c r="F5">
        <v>5</v>
      </c>
      <c r="G5">
        <v>5</v>
      </c>
      <c r="H5">
        <v>5</v>
      </c>
      <c r="I5">
        <v>5</v>
      </c>
    </row>
    <row r="6" spans="2:9" x14ac:dyDescent="0.3">
      <c r="B6" t="s">
        <v>8</v>
      </c>
      <c r="E6">
        <v>3</v>
      </c>
      <c r="F6">
        <v>3.75</v>
      </c>
      <c r="G6">
        <v>3.9</v>
      </c>
      <c r="H6">
        <v>4.7</v>
      </c>
      <c r="I6">
        <v>5</v>
      </c>
    </row>
    <row r="7" spans="2:9" x14ac:dyDescent="0.3">
      <c r="B7" t="s">
        <v>9</v>
      </c>
      <c r="E7">
        <v>0.05</v>
      </c>
      <c r="F7">
        <v>4.7E-2</v>
      </c>
      <c r="G7">
        <v>3.5999999999999997E-2</v>
      </c>
      <c r="H7">
        <v>3.6499999999999998E-2</v>
      </c>
      <c r="I7">
        <v>0.03</v>
      </c>
    </row>
    <row r="12" spans="2:9" x14ac:dyDescent="0.3">
      <c r="B12" t="s">
        <v>10</v>
      </c>
      <c r="D12">
        <v>1.0999999999999999E-2</v>
      </c>
    </row>
    <row r="13" spans="2:9" x14ac:dyDescent="0.3">
      <c r="B13" t="s">
        <v>11</v>
      </c>
      <c r="D13">
        <v>1000</v>
      </c>
    </row>
    <row r="14" spans="2:9" x14ac:dyDescent="0.3">
      <c r="B14" t="s">
        <v>12</v>
      </c>
      <c r="D14">
        <v>500</v>
      </c>
    </row>
    <row r="15" spans="2:9" x14ac:dyDescent="0.3">
      <c r="B15" t="s">
        <v>13</v>
      </c>
      <c r="D15">
        <v>7500</v>
      </c>
    </row>
    <row r="16" spans="2:9" x14ac:dyDescent="0.3">
      <c r="B16" t="s">
        <v>14</v>
      </c>
      <c r="D1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 Page</vt:lpstr>
      <vt:lpstr>Cap Rate &amp; NOI</vt:lpstr>
      <vt:lpstr>raw data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Guruprasad V</cp:lastModifiedBy>
  <dcterms:created xsi:type="dcterms:W3CDTF">2019-02-28T22:46:47Z</dcterms:created>
  <dcterms:modified xsi:type="dcterms:W3CDTF">2026-06-08T10:55:43Z</dcterms:modified>
</cp:coreProperties>
</file>